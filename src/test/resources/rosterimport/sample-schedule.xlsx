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F4D9B72A-46C6-464A-8CC4-D47F50F8F54F}" xr6:coauthVersionLast="47" xr6:coauthVersionMax="47" xr10:uidLastSave="{00000000-0000-0000-0000-000000000000}"/>
  <bookViews>
    <workbookView xWindow="-120" yWindow="-120" windowWidth="21840" windowHeight="13020" activeTab="3" xr2:uid="{D6DDA3DA-AD44-F941-AC6A-ACA1EE86A9F5}"/>
  </bookViews>
  <sheets>
    <sheet name="Jun26" sheetId="1" r:id="rId1"/>
    <sheet name="Jul26" sheetId="2" r:id="rId2"/>
    <sheet name="Aug26" sheetId="3" r:id="rId3"/>
    <sheet name="Sep26" sheetId="5" r:id="rId4"/>
  </sheets>
  <definedNames>
    <definedName name="_xlnm.Print_Area" localSheetId="2">'Aug26'!$B$1:$AH$45</definedName>
    <definedName name="_xlnm.Print_Area" localSheetId="1">'Jul26'!$B$1:$AH$43</definedName>
    <definedName name="_xlnm.Print_Area" localSheetId="0">'Jun26'!$B$1:$AG$39</definedName>
    <definedName name="_xlnm.Print_Area" localSheetId="3">'Sep26'!$B$1:$AG$44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 l="1"/>
  <c r="F33" i="5"/>
  <c r="G33" i="5"/>
  <c r="H33" i="5"/>
  <c r="I33" i="5"/>
  <c r="J33" i="5"/>
  <c r="K33" i="5"/>
  <c r="L33" i="5"/>
  <c r="M33" i="5"/>
  <c r="N33" i="5"/>
  <c r="O33" i="5"/>
  <c r="P33" i="5"/>
  <c r="Q33" i="5"/>
  <c r="R33" i="5"/>
  <c r="S33" i="5"/>
  <c r="T33" i="5"/>
  <c r="U33" i="5"/>
  <c r="V33" i="5"/>
  <c r="W33" i="5"/>
  <c r="X33" i="5"/>
  <c r="Y33" i="5"/>
  <c r="Z33" i="5"/>
  <c r="AA33" i="5"/>
  <c r="AB33" i="5"/>
  <c r="AC33" i="5"/>
  <c r="AD33" i="5"/>
  <c r="AE33" i="5"/>
  <c r="AF33" i="5"/>
  <c r="AG33" i="5"/>
  <c r="D33" i="5"/>
  <c r="AK20" i="5" l="1"/>
  <c r="AK21" i="5"/>
  <c r="AK16" i="5"/>
  <c r="AJ9" i="5"/>
  <c r="AK9" i="5" s="1"/>
  <c r="AM21" i="3"/>
  <c r="AK23" i="5" l="1"/>
  <c r="AK24" i="5"/>
  <c r="AM15" i="3"/>
  <c r="AM16" i="3"/>
  <c r="AM8" i="2"/>
  <c r="AL8" i="2"/>
  <c r="Z42" i="2"/>
  <c r="AM8" i="3" l="1"/>
  <c r="AM24" i="3" s="1"/>
  <c r="AM20" i="3"/>
  <c r="AM20" i="2"/>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AM22" i="3"/>
  <c r="AM25" i="3" l="1"/>
  <c r="AM21" i="2"/>
  <c r="AM19" i="2"/>
  <c r="AM15" i="2"/>
  <c r="AM23" i="2" l="1"/>
  <c r="AG32" i="2" l="1"/>
  <c r="D28" i="1" l="1"/>
  <c r="H28" i="1"/>
  <c r="T28" i="1"/>
  <c r="X28" i="1"/>
  <c r="AB28" i="1"/>
  <c r="AF28" i="1"/>
  <c r="AH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O28" i="1"/>
  <c r="G28" i="1"/>
  <c r="Q28" i="1"/>
  <c r="R28" i="1"/>
  <c r="S28" i="1"/>
  <c r="U28" i="1"/>
  <c r="V28" i="1"/>
  <c r="W28" i="1"/>
  <c r="Y28" i="1"/>
  <c r="Z28" i="1"/>
  <c r="AA28" i="1"/>
  <c r="AC28" i="1"/>
  <c r="AD28" i="1"/>
  <c r="AE28" i="1"/>
  <c r="AG28" i="1"/>
  <c r="P28" i="1"/>
  <c r="I28" i="1"/>
  <c r="J28" i="1"/>
  <c r="K28" i="1"/>
  <c r="L28" i="1"/>
  <c r="M28" i="1"/>
  <c r="N28" i="1"/>
  <c r="E28" i="1"/>
  <c r="F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8" authorId="0" shapeId="0" xr:uid="{20867789-7C2F-4B81-A2D5-E2C2E5FB7500}">
      <text>
        <r>
          <rPr>
            <b/>
            <sz val="9"/>
            <color indexed="81"/>
            <rFont val="Tahoma"/>
            <family val="2"/>
          </rPr>
          <t>User:</t>
        </r>
        <r>
          <rPr>
            <sz val="9"/>
            <color indexed="81"/>
            <rFont val="Tahoma"/>
            <family val="2"/>
          </rPr>
          <t xml:space="preserve">
advance salary 6 days</t>
        </r>
      </text>
    </comment>
    <comment ref="N8" authorId="0" shapeId="0" xr:uid="{ED03B10F-D728-4167-AD8A-4D8DD012FC16}">
      <text>
        <r>
          <rPr>
            <b/>
            <sz val="9"/>
            <color indexed="81"/>
            <rFont val="Tahoma"/>
            <family val="2"/>
          </rPr>
          <t>User:</t>
        </r>
        <r>
          <rPr>
            <sz val="9"/>
            <color indexed="81"/>
            <rFont val="Tahoma"/>
            <family val="2"/>
          </rPr>
          <t xml:space="preserve">
advance salary 3 days</t>
        </r>
      </text>
    </comment>
    <comment ref="AC19" authorId="0" shapeId="0" xr:uid="{8E45FFA0-ABA0-42D8-822F-24BDD6419EBE}">
      <text>
        <r>
          <rPr>
            <b/>
            <sz val="9"/>
            <color indexed="81"/>
            <rFont val="Tahoma"/>
            <family val="2"/>
          </rPr>
          <t>User:</t>
        </r>
        <r>
          <rPr>
            <sz val="9"/>
            <color indexed="81"/>
            <rFont val="Tahoma"/>
            <family val="2"/>
          </rPr>
          <t xml:space="preserve">
half day</t>
        </r>
      </text>
    </comment>
    <comment ref="AD19" authorId="0" shapeId="0" xr:uid="{22A99390-DF9C-42D9-885D-CC9440FFC77A}">
      <text>
        <r>
          <rPr>
            <b/>
            <sz val="9"/>
            <color indexed="81"/>
            <rFont val="Tahoma"/>
            <family val="2"/>
          </rPr>
          <t>User:</t>
        </r>
        <r>
          <rPr>
            <sz val="9"/>
            <color indexed="81"/>
            <rFont val="Tahoma"/>
            <family val="2"/>
          </rPr>
          <t xml:space="preserve">
half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T8" authorId="0" shapeId="0" xr:uid="{CF451D72-AC71-4A1B-8FB4-35B46BFB1D53}">
      <text>
        <r>
          <rPr>
            <b/>
            <sz val="9"/>
            <color indexed="81"/>
            <rFont val="Tahoma"/>
            <charset val="1"/>
          </rPr>
          <t>User:</t>
        </r>
        <r>
          <rPr>
            <sz val="9"/>
            <color indexed="81"/>
            <rFont val="Tahoma"/>
            <charset val="1"/>
          </rPr>
          <t xml:space="preserve">
Half day</t>
        </r>
      </text>
    </comment>
    <comment ref="Z16" authorId="0" shapeId="0" xr:uid="{8AA22B00-AF82-4D84-A7CD-69E02AC99699}">
      <text>
        <r>
          <rPr>
            <b/>
            <sz val="9"/>
            <color indexed="81"/>
            <rFont val="Tahoma"/>
            <charset val="1"/>
          </rPr>
          <t>User:</t>
        </r>
        <r>
          <rPr>
            <sz val="9"/>
            <color indexed="81"/>
            <rFont val="Tahoma"/>
            <charset val="1"/>
          </rPr>
          <t xml:space="preserve">
Half day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9" authorId="0" shapeId="0" xr:uid="{FFBFEF06-7755-4D89-B726-283CA7263F68}">
      <text>
        <r>
          <rPr>
            <b/>
            <sz val="9"/>
            <color indexed="81"/>
            <rFont val="Tahoma"/>
            <family val="2"/>
          </rPr>
          <t>User:</t>
        </r>
        <r>
          <rPr>
            <sz val="9"/>
            <color indexed="81"/>
            <rFont val="Tahoma"/>
            <family val="2"/>
          </rPr>
          <t xml:space="preserve">
do not move</t>
        </r>
      </text>
    </comment>
    <comment ref="AF24" authorId="0" shapeId="0" xr:uid="{B8319A95-0AFC-48DF-80B2-26ACB1DF4724}">
      <text>
        <r>
          <rPr>
            <b/>
            <sz val="9"/>
            <color indexed="81"/>
            <rFont val="Tahoma"/>
            <family val="2"/>
          </rPr>
          <t>User:</t>
        </r>
        <r>
          <rPr>
            <sz val="9"/>
            <color indexed="81"/>
            <rFont val="Tahoma"/>
            <family val="2"/>
          </rPr>
          <t xml:space="preserve">
do not move</t>
        </r>
      </text>
    </comment>
  </commentList>
</comments>
</file>

<file path=xl/sharedStrings.xml><?xml version="1.0" encoding="utf-8"?>
<sst xmlns="http://schemas.openxmlformats.org/spreadsheetml/2006/main" count="942" uniqueCount="90">
  <si>
    <t xml:space="preserve">Mon </t>
  </si>
  <si>
    <t>Wed</t>
  </si>
  <si>
    <t>fri</t>
  </si>
  <si>
    <t>Tue</t>
  </si>
  <si>
    <t>Sat</t>
  </si>
  <si>
    <t>Thu</t>
  </si>
  <si>
    <t xml:space="preserve">Sun </t>
  </si>
  <si>
    <t>Mon</t>
  </si>
  <si>
    <t>Fri</t>
  </si>
  <si>
    <t>Sun</t>
  </si>
  <si>
    <t xml:space="preserve">Admin </t>
  </si>
  <si>
    <t xml:space="preserve">Front Office. </t>
  </si>
  <si>
    <t xml:space="preserve">House keeping </t>
  </si>
  <si>
    <t xml:space="preserve">Restaurant </t>
  </si>
  <si>
    <t xml:space="preserve">Kitchen </t>
  </si>
  <si>
    <t xml:space="preserve">Maintenance </t>
  </si>
  <si>
    <t xml:space="preserve">Pueng </t>
  </si>
  <si>
    <t xml:space="preserve">Joy </t>
  </si>
  <si>
    <t>Pukkie</t>
  </si>
  <si>
    <t xml:space="preserve">Bom </t>
  </si>
  <si>
    <t xml:space="preserve">May </t>
  </si>
  <si>
    <t xml:space="preserve">Jason </t>
  </si>
  <si>
    <t xml:space="preserve">Phon </t>
  </si>
  <si>
    <t>Pasam</t>
  </si>
  <si>
    <t>Ead</t>
  </si>
  <si>
    <t xml:space="preserve">Tong </t>
  </si>
  <si>
    <t xml:space="preserve">Tik </t>
  </si>
  <si>
    <t xml:space="preserve">PH </t>
  </si>
  <si>
    <t>PH</t>
  </si>
  <si>
    <t>SS</t>
  </si>
  <si>
    <t>TOTAL STAFFS</t>
  </si>
  <si>
    <t xml:space="preserve">Total off </t>
  </si>
  <si>
    <t>Total PH/al</t>
  </si>
  <si>
    <t xml:space="preserve">Total working </t>
  </si>
  <si>
    <t>JUNE 2026 SCHEDULE</t>
  </si>
  <si>
    <t xml:space="preserve">Special Note : </t>
  </si>
  <si>
    <t xml:space="preserve">8th of June. We will have EasyFo who will be coming to the property for the instalation of the new PMS and POS system. Most important will be training which will involve most of the staffs. This training is priority and unfortunatly if it falls on your day off, you will need to be present for the training. </t>
  </si>
  <si>
    <t>07:00 -16:00</t>
  </si>
  <si>
    <t>12:00-21:00</t>
  </si>
  <si>
    <t>07:00-14:00 / 18:00-20:00</t>
  </si>
  <si>
    <t>09:00 - 18:00</t>
  </si>
  <si>
    <t>11:00 - 20:00</t>
  </si>
  <si>
    <t>08:30-14:00 / 17:00-20:30</t>
  </si>
  <si>
    <t>Sunday</t>
  </si>
  <si>
    <t>Wednesday</t>
  </si>
  <si>
    <t>Monday</t>
  </si>
  <si>
    <t>Saturday</t>
  </si>
  <si>
    <t>Friday</t>
  </si>
  <si>
    <t>Thursday</t>
  </si>
  <si>
    <t>OP</t>
  </si>
  <si>
    <t>PH or AL or keep day off</t>
  </si>
  <si>
    <t>Tuesday</t>
  </si>
  <si>
    <t xml:space="preserve">Open Schedule </t>
  </si>
  <si>
    <t>09:00-13:00 / 16:00-21:00</t>
  </si>
  <si>
    <t xml:space="preserve">Inhouse </t>
  </si>
  <si>
    <t>Nooknik</t>
  </si>
  <si>
    <t>09:00 - 19:00</t>
  </si>
  <si>
    <t xml:space="preserve">29th Wine Pro - Wine Trainning </t>
  </si>
  <si>
    <t>PT1</t>
  </si>
  <si>
    <t>PT2</t>
  </si>
  <si>
    <t>07:00 - 17:00</t>
  </si>
  <si>
    <t>July 2026 SCHEDULE</t>
  </si>
  <si>
    <t>08:00 - 17:00</t>
  </si>
  <si>
    <t>Namtan</t>
  </si>
  <si>
    <t>PT3</t>
  </si>
  <si>
    <t>11:00 - 21:00</t>
  </si>
  <si>
    <t>Beer</t>
  </si>
  <si>
    <t>Tey</t>
  </si>
  <si>
    <t>3rd - wine trainning with WINE PRO</t>
  </si>
  <si>
    <t>07:00-13:00 / 18:00-21:00</t>
  </si>
  <si>
    <t>Namwan</t>
  </si>
  <si>
    <t>Guide</t>
  </si>
  <si>
    <t>Tey to help housekeeping on 20th , 21st</t>
  </si>
  <si>
    <t>August 2026 SCHEDULE</t>
  </si>
  <si>
    <t>Phyu</t>
  </si>
  <si>
    <t>tee</t>
  </si>
  <si>
    <t>K. Guide to stand by front desk on 17 August from 17:00 - 21:00. Thank you</t>
  </si>
  <si>
    <t>Siripat</t>
  </si>
  <si>
    <t>Chef</t>
  </si>
  <si>
    <t>Tues</t>
  </si>
  <si>
    <t>Mai</t>
  </si>
  <si>
    <t>Tee</t>
  </si>
  <si>
    <t>September 2026 SCHEDULE</t>
  </si>
  <si>
    <t>03rd -  Proposal set up and dinner on the beach</t>
  </si>
  <si>
    <r>
      <t xml:space="preserve">24th  - </t>
    </r>
    <r>
      <rPr>
        <b/>
        <sz val="11"/>
        <color theme="3" tint="0.249977111117893"/>
        <rFont val="Aptos Narrow"/>
        <family val="2"/>
        <scheme val="minor"/>
      </rPr>
      <t>P Peung</t>
    </r>
    <r>
      <rPr>
        <sz val="11"/>
        <color theme="1"/>
        <rFont val="Aptos Narrow"/>
        <family val="2"/>
        <scheme val="minor"/>
      </rPr>
      <t xml:space="preserve"> to cover ABF 07:00-08:30  -  </t>
    </r>
    <r>
      <rPr>
        <b/>
        <sz val="11"/>
        <color theme="3" tint="0.249977111117893"/>
        <rFont val="Aptos Narrow"/>
        <family val="2"/>
        <scheme val="minor"/>
      </rPr>
      <t xml:space="preserve">Mai </t>
    </r>
    <r>
      <rPr>
        <sz val="11"/>
        <color theme="1"/>
        <rFont val="Aptos Narrow"/>
        <family val="2"/>
        <scheme val="minor"/>
      </rPr>
      <t>from 14:00 - 17:00</t>
    </r>
  </si>
  <si>
    <r>
      <t xml:space="preserve">27th  - </t>
    </r>
    <r>
      <rPr>
        <b/>
        <sz val="11"/>
        <color theme="3" tint="0.249977111117893"/>
        <rFont val="Aptos Narrow"/>
        <family val="2"/>
        <scheme val="minor"/>
      </rPr>
      <t>P Joy</t>
    </r>
    <r>
      <rPr>
        <sz val="11"/>
        <color theme="1"/>
        <rFont val="Aptos Narrow"/>
        <family val="2"/>
        <scheme val="minor"/>
      </rPr>
      <t xml:space="preserve"> please help cover FB from 13:00 - 18:00 thank you</t>
    </r>
  </si>
  <si>
    <r>
      <t>06 th -</t>
    </r>
    <r>
      <rPr>
        <b/>
        <sz val="12"/>
        <color theme="3" tint="0.249977111117893"/>
        <rFont val="Aptos Narrow"/>
        <family val="2"/>
        <scheme val="minor"/>
      </rPr>
      <t xml:space="preserve"> Guide</t>
    </r>
    <r>
      <rPr>
        <sz val="12"/>
        <color theme="1"/>
        <rFont val="Aptos Narrow"/>
        <family val="2"/>
        <scheme val="minor"/>
      </rPr>
      <t xml:space="preserve"> last day. Thank you !!!</t>
    </r>
  </si>
  <si>
    <r>
      <t>21st - 23rd Kitchen team trainning -</t>
    </r>
    <r>
      <rPr>
        <b/>
        <sz val="12"/>
        <color theme="3" tint="0.249977111117893"/>
        <rFont val="Aptos Narrow"/>
        <family val="2"/>
        <scheme val="minor"/>
      </rPr>
      <t xml:space="preserve"> P Peung and Bom</t>
    </r>
    <r>
      <rPr>
        <sz val="12"/>
        <color theme="1"/>
        <rFont val="Aptos Narrow"/>
        <family val="2"/>
        <scheme val="minor"/>
      </rPr>
      <t xml:space="preserve"> to help prepare lunch menu if needed .. Thank you</t>
    </r>
  </si>
  <si>
    <t>TEE</t>
  </si>
  <si>
    <t>Tete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</si>
</sst>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1"/>
      <color theme="1"/>
      <name val="Aptos Narrow"/>
      <family val="2"/>
      <scheme val="minor"/>
    </font>
    <font>
      <sz val="11"/>
      <color theme="1"/>
      <name val="Aptos Narrow"/>
      <family val="2"/>
      <scheme val="minor"/>
    </font>
    <font>
      <sz val="8"/>
      <name val="Aptos Narrow"/>
      <family val="2"/>
      <scheme val="minor"/>
    </font>
    <font>
      <sz val="8"/>
      <color theme="1"/>
      <name val="Aptos Narrow"/>
      <family val="2"/>
      <scheme val="minor"/>
    </font>
    <font>
      <b/>
      <sz val="14"/>
      <color theme="1"/>
      <name val="Aptos Narrow"/>
      <family val="2"/>
      <scheme val="minor"/>
    </font>
    <font>
      <sz val="10"/>
      <color theme="1"/>
      <name val="Aptos Narrow"/>
      <family val="2"/>
      <scheme val="minor"/>
    </font>
    <font>
      <sz val="9"/>
      <color indexed="81"/>
      <name val="Tahoma"/>
      <family val="2"/>
    </font>
    <font>
      <b/>
      <sz val="9"/>
      <color indexed="81"/>
      <name val="Tahoma"/>
      <family val="2"/>
    </font>
    <font>
      <sz val="12"/>
      <color rgb="FF000000"/>
      <name val="Aptos Narrow"/>
      <family val="2"/>
      <scheme val="minor"/>
    </font>
    <font>
      <sz val="9"/>
      <color indexed="81"/>
      <name val="Tahoma"/>
      <charset val="1"/>
    </font>
    <font>
      <b/>
      <sz val="9"/>
      <color indexed="81"/>
      <name val="Tahoma"/>
      <charset val="1"/>
    </font>
    <font>
      <b/>
      <sz val="11"/>
      <color theme="3" tint="0.249977111117893"/>
      <name val="Aptos Narrow"/>
      <family val="2"/>
      <scheme val="minor"/>
    </font>
    <font>
      <b/>
      <sz val="12"/>
      <color theme="3" tint="0.249977111117893"/>
      <name val="Aptos Narrow"/>
      <family val="2"/>
      <scheme val="minor"/>
    </font>
  </fonts>
  <fills count="27">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rgb="FFF9F9F9"/>
        <bgColor indexed="64"/>
      </patternFill>
    </fill>
    <fill>
      <patternFill patternType="solid">
        <fgColor rgb="FFFFFF00"/>
        <bgColor indexed="64"/>
      </patternFill>
    </fill>
    <fill>
      <patternFill patternType="solid">
        <fgColor rgb="FFFF0000"/>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7" tint="0.39997558519241921"/>
        <bgColor indexed="64"/>
      </patternFill>
    </fill>
    <fill>
      <patternFill patternType="solid">
        <fgColor theme="0"/>
        <bgColor indexed="64"/>
      </patternFill>
    </fill>
    <fill>
      <patternFill patternType="solid">
        <fgColor theme="5"/>
        <bgColor indexed="64"/>
      </patternFill>
    </fill>
    <fill>
      <patternFill patternType="solid">
        <fgColor rgb="FFFF99FF"/>
        <bgColor indexed="64"/>
      </patternFill>
    </fill>
    <fill>
      <patternFill patternType="solid">
        <fgColor theme="9" tint="0.59999389629810485"/>
        <bgColor indexed="64"/>
      </patternFill>
    </fill>
    <fill>
      <patternFill patternType="solid">
        <fgColor rgb="FFFFC000"/>
        <bgColor indexed="64"/>
      </patternFill>
    </fill>
    <fill>
      <patternFill patternType="solid">
        <fgColor theme="4" tint="0.59999389629810485"/>
        <bgColor indexed="64"/>
      </patternFill>
    </fill>
    <fill>
      <patternFill patternType="solid">
        <fgColor rgb="FF9933FF"/>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rgb="FFF7C7AC"/>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4" borderId="0" xfId="0" applyFill="1"/>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4" fillId="0" borderId="0" xfId="0" applyFont="1"/>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4" borderId="0" xfId="0" applyFill="1" applyAlignment="1">
      <alignment horizontal="center" vertical="center"/>
    </xf>
    <xf numFmtId="0" fontId="0" fillId="9" borderId="0" xfId="0" applyFill="1" applyAlignment="1">
      <alignment horizontal="center" vertical="center"/>
    </xf>
    <xf numFmtId="0" fontId="0" fillId="14" borderId="1" xfId="0" applyFill="1" applyBorder="1" applyAlignment="1">
      <alignment horizontal="center" vertical="center"/>
    </xf>
    <xf numFmtId="0" fontId="0" fillId="9" borderId="3" xfId="0" applyFill="1" applyBorder="1" applyAlignment="1">
      <alignment horizontal="center" vertical="center"/>
    </xf>
    <xf numFmtId="0" fontId="0" fillId="0" borderId="5" xfId="0" applyBorder="1"/>
    <xf numFmtId="0" fontId="0" fillId="0" borderId="3" xfId="0" applyBorder="1"/>
    <xf numFmtId="0" fontId="0" fillId="13" borderId="3" xfId="0" applyFill="1" applyBorder="1" applyAlignment="1">
      <alignment horizontal="center" vertical="center"/>
    </xf>
    <xf numFmtId="0" fontId="4" fillId="3" borderId="6" xfId="0" applyFont="1" applyFill="1" applyBorder="1" applyAlignment="1">
      <alignment horizontal="left" vertical="center"/>
    </xf>
    <xf numFmtId="0" fontId="0" fillId="2" borderId="3" xfId="0" applyFill="1" applyBorder="1" applyAlignment="1">
      <alignment horizontal="center" vertical="center"/>
    </xf>
    <xf numFmtId="0" fontId="0" fillId="8" borderId="3" xfId="0" applyFill="1" applyBorder="1" applyAlignment="1">
      <alignment horizontal="center" vertical="center"/>
    </xf>
    <xf numFmtId="0" fontId="0" fillId="11" borderId="3" xfId="0" applyFill="1" applyBorder="1" applyAlignment="1">
      <alignment horizontal="center" vertical="center"/>
    </xf>
    <xf numFmtId="0" fontId="0" fillId="0" borderId="7" xfId="0" applyBorder="1"/>
    <xf numFmtId="0" fontId="0" fillId="0" borderId="8" xfId="0" applyBorder="1"/>
    <xf numFmtId="0" fontId="6" fillId="0" borderId="0" xfId="0" applyFont="1"/>
    <xf numFmtId="0" fontId="0" fillId="0" borderId="2" xfId="0" applyBorder="1"/>
    <xf numFmtId="0" fontId="0" fillId="0" borderId="0" xfId="0" applyAlignment="1">
      <alignment horizontal="right" vertical="center"/>
    </xf>
    <xf numFmtId="0" fontId="0" fillId="0" borderId="0" xfId="0" applyAlignment="1">
      <alignment horizontal="right"/>
    </xf>
    <xf numFmtId="0" fontId="0" fillId="0" borderId="9" xfId="0" applyBorder="1"/>
    <xf numFmtId="0" fontId="0" fillId="2" borderId="9" xfId="0" applyFill="1" applyBorder="1" applyAlignment="1">
      <alignment horizontal="center" vertical="center"/>
    </xf>
    <xf numFmtId="0" fontId="0" fillId="15" borderId="1" xfId="0" applyFill="1" applyBorder="1" applyAlignment="1">
      <alignment horizontal="center" vertical="center"/>
    </xf>
    <xf numFmtId="0" fontId="0" fillId="16" borderId="0" xfId="0" applyFill="1" applyAlignment="1">
      <alignment horizontal="center" vertical="center"/>
    </xf>
    <xf numFmtId="0" fontId="4" fillId="3" borderId="15" xfId="0" applyFont="1" applyFill="1" applyBorder="1" applyAlignment="1">
      <alignment horizontal="left" vertical="center"/>
    </xf>
    <xf numFmtId="0" fontId="0" fillId="0" borderId="5" xfId="0" applyBorder="1" applyAlignment="1">
      <alignment horizontal="center"/>
    </xf>
    <xf numFmtId="0" fontId="0" fillId="0" borderId="3" xfId="0" applyBorder="1" applyAlignment="1">
      <alignment horizontal="left"/>
    </xf>
    <xf numFmtId="0" fontId="6" fillId="6" borderId="0" xfId="0" applyFont="1" applyFill="1"/>
    <xf numFmtId="0" fontId="6" fillId="5" borderId="0" xfId="0" applyFont="1" applyFill="1"/>
    <xf numFmtId="0" fontId="6" fillId="17" borderId="0" xfId="0" applyFont="1" applyFill="1"/>
    <xf numFmtId="0" fontId="6" fillId="18" borderId="0" xfId="0" applyFont="1" applyFill="1"/>
    <xf numFmtId="0" fontId="6" fillId="19" borderId="0" xfId="0" applyFont="1" applyFill="1"/>
    <xf numFmtId="0" fontId="6" fillId="20" borderId="0" xfId="0" applyFont="1" applyFill="1"/>
    <xf numFmtId="0" fontId="6" fillId="21" borderId="0" xfId="0" applyFont="1" applyFill="1"/>
    <xf numFmtId="0" fontId="0" fillId="22" borderId="0" xfId="0" applyFill="1" applyAlignment="1">
      <alignment horizontal="center" vertical="center"/>
    </xf>
    <xf numFmtId="0" fontId="0" fillId="22" borderId="1" xfId="0" applyFill="1" applyBorder="1" applyAlignment="1">
      <alignment horizontal="center" vertical="center"/>
    </xf>
    <xf numFmtId="0" fontId="0" fillId="3" borderId="1" xfId="0" applyFill="1" applyBorder="1" applyAlignment="1">
      <alignment horizontal="center" vertical="center"/>
    </xf>
    <xf numFmtId="0" fontId="0" fillId="0" borderId="15" xfId="0" applyBorder="1" applyAlignment="1">
      <alignment horizontal="center" vertical="center"/>
    </xf>
    <xf numFmtId="0" fontId="0" fillId="16" borderId="1" xfId="0" applyFill="1" applyBorder="1" applyAlignment="1">
      <alignment horizontal="center" vertical="center"/>
    </xf>
    <xf numFmtId="0" fontId="0" fillId="0" borderId="0" xfId="0" applyAlignment="1">
      <alignment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10" borderId="1" xfId="0" applyFill="1" applyBorder="1" applyAlignment="1">
      <alignment horizontal="left" vertical="center" indent="1"/>
    </xf>
    <xf numFmtId="0" fontId="0" fillId="13" borderId="0" xfId="0" applyFill="1" applyAlignment="1">
      <alignment horizontal="center" vertical="center"/>
    </xf>
    <xf numFmtId="0" fontId="0" fillId="25" borderId="1" xfId="0" applyFill="1" applyBorder="1" applyAlignment="1">
      <alignment horizontal="center" vertical="center"/>
    </xf>
    <xf numFmtId="0" fontId="0" fillId="9" borderId="0" xfId="0" applyFill="1" applyAlignment="1">
      <alignment horizontal="right" vertical="center"/>
    </xf>
    <xf numFmtId="0" fontId="4" fillId="0" borderId="0" xfId="0" applyFont="1" applyAlignment="1">
      <alignment horizontal="right"/>
    </xf>
    <xf numFmtId="0" fontId="0" fillId="8" borderId="0" xfId="0" applyFill="1" applyAlignment="1">
      <alignment horizontal="right" vertical="center"/>
    </xf>
    <xf numFmtId="0" fontId="0" fillId="0" borderId="0" xfId="0" applyAlignment="1">
      <alignment horizontal="center"/>
    </xf>
    <xf numFmtId="0" fontId="0" fillId="9" borderId="6" xfId="0" applyFill="1" applyBorder="1" applyAlignment="1">
      <alignment horizontal="center" vertical="center"/>
    </xf>
    <xf numFmtId="0" fontId="9" fillId="26" borderId="3" xfId="0" applyFont="1" applyFill="1" applyBorder="1" applyAlignment="1">
      <alignment horizontal="center" vertical="center"/>
    </xf>
    <xf numFmtId="0" fontId="0" fillId="0" borderId="6" xfId="0"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horizontal="center"/>
    </xf>
    <xf numFmtId="0" fontId="0" fillId="6" borderId="0" xfId="0" applyFill="1" applyAlignment="1">
      <alignment horizontal="center" vertical="center"/>
    </xf>
    <xf numFmtId="0" fontId="0" fillId="0" borderId="0" xfId="0" applyAlignment="1">
      <alignment horizontal="center" vertical="center"/>
    </xf>
    <xf numFmtId="0" fontId="4" fillId="3" borderId="6" xfId="0" applyFont="1" applyFill="1" applyBorder="1" applyAlignment="1">
      <alignment horizontal="left" vertical="center"/>
    </xf>
    <xf numFmtId="0" fontId="0" fillId="0" borderId="0" xfId="0" applyAlignment="1">
      <alignment horizontal="center" vertical="center"/>
    </xf>
    <xf numFmtId="0" fontId="0" fillId="15" borderId="6" xfId="0" applyFill="1" applyBorder="1" applyAlignment="1">
      <alignment horizontal="center" vertical="center"/>
    </xf>
    <xf numFmtId="0" fontId="0" fillId="15" borderId="0" xfId="0" applyFill="1" applyBorder="1" applyAlignment="1">
      <alignment horizontal="center" vertical="center"/>
    </xf>
    <xf numFmtId="0" fontId="0" fillId="15" borderId="0" xfId="0" applyFill="1" applyAlignment="1">
      <alignment horizontal="center"/>
    </xf>
    <xf numFmtId="0" fontId="0" fillId="0" borderId="0" xfId="0"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5" borderId="1" xfId="0" applyFill="1" applyBorder="1" applyAlignment="1">
      <alignment horizontal="left"/>
    </xf>
    <xf numFmtId="0" fontId="0" fillId="0" borderId="0" xfId="0" applyAlignment="1">
      <alignment horizontal="left"/>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4" fillId="3" borderId="5" xfId="0" applyFont="1" applyFill="1" applyBorder="1" applyAlignment="1">
      <alignment horizontal="left" vertical="center"/>
    </xf>
    <xf numFmtId="0" fontId="4" fillId="3" borderId="9" xfId="0" applyFont="1" applyFill="1" applyBorder="1" applyAlignment="1">
      <alignment horizontal="left" vertical="center"/>
    </xf>
    <xf numFmtId="0" fontId="4" fillId="3" borderId="3" xfId="0" applyFont="1" applyFill="1" applyBorder="1" applyAlignment="1">
      <alignment horizontal="left" vertical="center"/>
    </xf>
    <xf numFmtId="0" fontId="5" fillId="0" borderId="0" xfId="0" applyFont="1" applyAlignment="1">
      <alignment horizontal="center"/>
    </xf>
    <xf numFmtId="0" fontId="4" fillId="3" borderId="6" xfId="0" applyFont="1" applyFill="1" applyBorder="1" applyAlignment="1">
      <alignment horizontal="left" vertical="center"/>
    </xf>
    <xf numFmtId="0" fontId="4" fillId="3" borderId="1" xfId="0" applyFont="1" applyFill="1" applyBorder="1" applyAlignment="1">
      <alignment horizontal="left" vertical="center"/>
    </xf>
    <xf numFmtId="0" fontId="4" fillId="3" borderId="4" xfId="0" applyFont="1" applyFill="1" applyBorder="1" applyAlignment="1">
      <alignment horizontal="left" vertical="center"/>
    </xf>
    <xf numFmtId="0" fontId="0" fillId="0" borderId="1" xfId="0" applyBorder="1" applyAlignment="1">
      <alignment horizont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4" fillId="3" borderId="5"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5" xfId="0" applyFont="1" applyFill="1" applyBorder="1" applyAlignment="1">
      <alignment horizontal="left" vertical="center"/>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FF"/>
      <color rgb="FF9933FF"/>
      <color rgb="FF00FF00"/>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7517-5091-7848-8BC0-83EF1427D517}">
  <dimension ref="B1:AJ38"/>
  <sheetViews>
    <sheetView showGridLines="0" zoomScaleNormal="100" zoomScaleSheetLayoutView="135" workbookViewId="0">
      <selection activeCell="AD14" sqref="AD14"/>
    </sheetView>
  </sheetViews>
  <sheetFormatPr defaultColWidth="11" defaultRowHeight="15.75" x14ac:dyDescent="0.25"/>
  <cols>
    <col min="1" max="1" width="1.5" customWidth="1"/>
    <col min="2" max="2" width="2.5" customWidth="1"/>
    <col min="4" max="33" width="4.5" style="1" customWidth="1"/>
    <col min="34" max="34" width="5.375" customWidth="1"/>
  </cols>
  <sheetData>
    <row r="1" spans="2:36" ht="18.75" x14ac:dyDescent="0.3">
      <c r="B1" s="92" t="s">
        <v>34</v>
      </c>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row>
    <row r="2" spans="2:36" x14ac:dyDescent="0.25">
      <c r="B2" s="96"/>
      <c r="C2" s="96"/>
      <c r="D2" s="2" t="s">
        <v>0</v>
      </c>
      <c r="E2" s="2" t="s">
        <v>3</v>
      </c>
      <c r="F2" s="2" t="s">
        <v>1</v>
      </c>
      <c r="G2" s="2" t="s">
        <v>5</v>
      </c>
      <c r="H2" s="2" t="s">
        <v>2</v>
      </c>
      <c r="I2" s="6" t="s">
        <v>4</v>
      </c>
      <c r="J2" s="6" t="s">
        <v>6</v>
      </c>
      <c r="K2" s="2" t="s">
        <v>7</v>
      </c>
      <c r="L2" s="2" t="s">
        <v>3</v>
      </c>
      <c r="M2" s="2" t="s">
        <v>1</v>
      </c>
      <c r="N2" s="2" t="s">
        <v>5</v>
      </c>
      <c r="O2" s="2" t="s">
        <v>8</v>
      </c>
      <c r="P2" s="6" t="s">
        <v>4</v>
      </c>
      <c r="Q2" s="6" t="s">
        <v>9</v>
      </c>
      <c r="R2" s="2" t="s">
        <v>7</v>
      </c>
      <c r="S2" s="2" t="s">
        <v>3</v>
      </c>
      <c r="T2" s="2" t="s">
        <v>1</v>
      </c>
      <c r="U2" s="2" t="s">
        <v>5</v>
      </c>
      <c r="V2" s="2" t="s">
        <v>8</v>
      </c>
      <c r="W2" s="6" t="s">
        <v>4</v>
      </c>
      <c r="X2" s="6" t="s">
        <v>9</v>
      </c>
      <c r="Y2" s="2" t="s">
        <v>7</v>
      </c>
      <c r="Z2" s="2" t="s">
        <v>3</v>
      </c>
      <c r="AA2" s="2" t="s">
        <v>1</v>
      </c>
      <c r="AB2" s="2" t="s">
        <v>5</v>
      </c>
      <c r="AC2" s="2" t="s">
        <v>8</v>
      </c>
      <c r="AD2" s="6" t="s">
        <v>4</v>
      </c>
      <c r="AE2" s="6" t="s">
        <v>9</v>
      </c>
      <c r="AF2" s="2" t="s">
        <v>7</v>
      </c>
      <c r="AG2" s="2" t="s">
        <v>3</v>
      </c>
    </row>
    <row r="3" spans="2:36" x14ac:dyDescent="0.25">
      <c r="B3" s="96"/>
      <c r="C3" s="96"/>
      <c r="D3" s="5">
        <v>1</v>
      </c>
      <c r="E3" s="5">
        <v>2</v>
      </c>
      <c r="F3" s="5">
        <v>3</v>
      </c>
      <c r="G3" s="5">
        <v>4</v>
      </c>
      <c r="H3" s="5">
        <v>5</v>
      </c>
      <c r="I3" s="5">
        <v>6</v>
      </c>
      <c r="J3" s="5">
        <v>7</v>
      </c>
      <c r="K3" s="5">
        <v>8</v>
      </c>
      <c r="L3" s="5">
        <v>9</v>
      </c>
      <c r="M3" s="5">
        <v>10</v>
      </c>
      <c r="N3" s="5">
        <v>11</v>
      </c>
      <c r="O3" s="5">
        <v>12</v>
      </c>
      <c r="P3" s="5">
        <v>13</v>
      </c>
      <c r="Q3" s="5">
        <v>14</v>
      </c>
      <c r="R3" s="5">
        <v>15</v>
      </c>
      <c r="S3" s="5">
        <v>16</v>
      </c>
      <c r="T3" s="5">
        <v>17</v>
      </c>
      <c r="U3" s="5">
        <v>18</v>
      </c>
      <c r="V3" s="5">
        <v>19</v>
      </c>
      <c r="W3" s="5">
        <v>20</v>
      </c>
      <c r="X3" s="5">
        <v>21</v>
      </c>
      <c r="Y3" s="5">
        <v>22</v>
      </c>
      <c r="Z3" s="5">
        <v>23</v>
      </c>
      <c r="AA3" s="5">
        <v>24</v>
      </c>
      <c r="AB3" s="5">
        <v>25</v>
      </c>
      <c r="AC3" s="5">
        <v>26</v>
      </c>
      <c r="AD3" s="5">
        <v>27</v>
      </c>
      <c r="AE3" s="5">
        <v>28</v>
      </c>
      <c r="AF3" s="5">
        <v>29</v>
      </c>
      <c r="AG3" s="5">
        <v>30</v>
      </c>
    </row>
    <row r="4" spans="2:36" s="8" customFormat="1" ht="8.1" customHeight="1" x14ac:dyDescent="0.2">
      <c r="B4" s="95" t="s">
        <v>10</v>
      </c>
      <c r="C4" s="95"/>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row>
    <row r="5" spans="2:36" x14ac:dyDescent="0.25">
      <c r="B5" s="29"/>
      <c r="C5" s="20" t="s">
        <v>16</v>
      </c>
      <c r="D5" s="18">
        <v>7</v>
      </c>
      <c r="E5" s="10">
        <v>7</v>
      </c>
      <c r="F5" s="10">
        <v>7</v>
      </c>
      <c r="G5" s="10">
        <v>7</v>
      </c>
      <c r="H5" s="10">
        <v>7</v>
      </c>
      <c r="I5" s="2"/>
      <c r="J5" s="2"/>
      <c r="K5" s="10">
        <v>7</v>
      </c>
      <c r="L5" s="10">
        <v>7</v>
      </c>
      <c r="M5" s="10">
        <v>7</v>
      </c>
      <c r="N5" s="10">
        <v>7</v>
      </c>
      <c r="O5" s="10">
        <v>7</v>
      </c>
      <c r="P5" s="10">
        <v>7</v>
      </c>
      <c r="Q5" s="10">
        <v>7</v>
      </c>
      <c r="R5" s="10">
        <v>7</v>
      </c>
      <c r="S5" s="2"/>
      <c r="T5" s="7" t="s">
        <v>27</v>
      </c>
      <c r="U5" s="10">
        <v>7</v>
      </c>
      <c r="V5" s="10">
        <v>7</v>
      </c>
      <c r="W5" s="2"/>
      <c r="X5" s="2"/>
      <c r="Y5" s="10">
        <v>7</v>
      </c>
      <c r="Z5" s="10">
        <v>7</v>
      </c>
      <c r="AA5" s="10">
        <v>7</v>
      </c>
      <c r="AB5" s="10">
        <v>7</v>
      </c>
      <c r="AC5" s="10">
        <v>7</v>
      </c>
      <c r="AD5" s="7" t="s">
        <v>27</v>
      </c>
      <c r="AE5" s="2"/>
      <c r="AF5" s="10">
        <v>7</v>
      </c>
      <c r="AG5" s="10">
        <v>7</v>
      </c>
      <c r="AI5" s="39" t="s">
        <v>43</v>
      </c>
      <c r="AJ5">
        <v>6</v>
      </c>
    </row>
    <row r="6" spans="2:36" s="8" customFormat="1" ht="8.1" customHeight="1" x14ac:dyDescent="0.25">
      <c r="B6" s="93" t="s">
        <v>11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I6" s="28"/>
    </row>
    <row r="7" spans="2:36" x14ac:dyDescent="0.25">
      <c r="B7" s="37"/>
      <c r="C7" s="38" t="s">
        <v>17</v>
      </c>
      <c r="D7" s="21" t="s">
        <v>49</v>
      </c>
      <c r="E7" s="21" t="s">
        <v>49</v>
      </c>
      <c r="F7" s="21" t="s">
        <v>49</v>
      </c>
      <c r="G7" s="2"/>
      <c r="H7" s="14" t="s">
        <v>49</v>
      </c>
      <c r="I7" s="14" t="s">
        <v>49</v>
      </c>
      <c r="J7" s="14" t="s">
        <v>49</v>
      </c>
      <c r="K7" s="14" t="s">
        <v>49</v>
      </c>
      <c r="L7" s="14" t="s">
        <v>49</v>
      </c>
      <c r="M7" s="14" t="s">
        <v>49</v>
      </c>
      <c r="N7" s="14" t="s">
        <v>49</v>
      </c>
      <c r="O7" s="14" t="s">
        <v>49</v>
      </c>
      <c r="P7" s="14" t="s">
        <v>49</v>
      </c>
      <c r="Q7" s="14" t="s">
        <v>49</v>
      </c>
      <c r="R7" s="14" t="s">
        <v>49</v>
      </c>
      <c r="S7" s="2"/>
      <c r="T7" s="2"/>
      <c r="U7" s="2"/>
      <c r="V7" s="7" t="s">
        <v>28</v>
      </c>
      <c r="W7" s="14" t="s">
        <v>49</v>
      </c>
      <c r="X7" s="14" t="s">
        <v>49</v>
      </c>
      <c r="Y7" s="14" t="s">
        <v>49</v>
      </c>
      <c r="Z7" s="14" t="s">
        <v>49</v>
      </c>
      <c r="AA7" s="14" t="s">
        <v>49</v>
      </c>
      <c r="AB7" s="7" t="s">
        <v>28</v>
      </c>
      <c r="AC7" s="2"/>
      <c r="AD7" s="14" t="s">
        <v>49</v>
      </c>
      <c r="AE7" s="14" t="s">
        <v>49</v>
      </c>
      <c r="AF7" s="7" t="s">
        <v>28</v>
      </c>
      <c r="AG7" s="2"/>
      <c r="AI7" s="42" t="s">
        <v>44</v>
      </c>
    </row>
    <row r="8" spans="2:36" x14ac:dyDescent="0.25">
      <c r="B8" s="19"/>
      <c r="C8" s="19" t="s">
        <v>63</v>
      </c>
      <c r="D8" s="3"/>
      <c r="E8" s="3"/>
      <c r="F8" s="3"/>
      <c r="G8" s="3"/>
      <c r="H8" s="3"/>
      <c r="I8" s="3"/>
      <c r="J8" s="3"/>
      <c r="K8" s="3"/>
      <c r="L8" s="3"/>
      <c r="M8" s="3"/>
      <c r="N8" s="3"/>
      <c r="O8" s="3"/>
      <c r="P8" s="3"/>
      <c r="Q8" s="3"/>
      <c r="R8" s="3"/>
      <c r="S8" s="3"/>
      <c r="T8" s="3"/>
      <c r="U8" s="3"/>
      <c r="V8" s="3"/>
      <c r="W8" s="3"/>
      <c r="X8" s="3"/>
      <c r="Y8" s="3"/>
      <c r="Z8" s="3"/>
      <c r="AA8" s="3"/>
      <c r="AB8" s="3"/>
      <c r="AC8" s="3"/>
      <c r="AD8" s="50" t="s">
        <v>59</v>
      </c>
      <c r="AE8" s="50" t="s">
        <v>59</v>
      </c>
      <c r="AF8" s="50" t="s">
        <v>59</v>
      </c>
      <c r="AG8" s="50" t="s">
        <v>64</v>
      </c>
      <c r="AI8" s="40" t="s">
        <v>45</v>
      </c>
    </row>
    <row r="9" spans="2:36" s="8" customFormat="1" ht="8.1" customHeight="1" x14ac:dyDescent="0.25">
      <c r="B9" s="22" t="s">
        <v>15</v>
      </c>
      <c r="C9" s="22"/>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I9" s="28"/>
    </row>
    <row r="10" spans="2:36" x14ac:dyDescent="0.25">
      <c r="B10" s="19"/>
      <c r="C10" s="20" t="s">
        <v>26</v>
      </c>
      <c r="D10" s="25">
        <v>10</v>
      </c>
      <c r="E10" s="12">
        <v>10</v>
      </c>
      <c r="F10" s="12">
        <v>10</v>
      </c>
      <c r="G10" s="12">
        <v>10</v>
      </c>
      <c r="H10" s="2"/>
      <c r="I10" s="2"/>
      <c r="J10" s="12">
        <v>10</v>
      </c>
      <c r="K10" s="12">
        <v>10</v>
      </c>
      <c r="L10" s="12">
        <v>10</v>
      </c>
      <c r="M10" s="12">
        <v>10</v>
      </c>
      <c r="N10" s="12">
        <v>10</v>
      </c>
      <c r="O10" s="2"/>
      <c r="P10" s="12">
        <v>10</v>
      </c>
      <c r="Q10" s="12">
        <v>10</v>
      </c>
      <c r="R10" s="12">
        <v>10</v>
      </c>
      <c r="S10" s="12">
        <v>10</v>
      </c>
      <c r="T10" s="12">
        <v>10</v>
      </c>
      <c r="U10" s="12">
        <v>10</v>
      </c>
      <c r="V10" s="2"/>
      <c r="W10" s="2"/>
      <c r="X10" s="12">
        <v>10</v>
      </c>
      <c r="Y10" s="12">
        <v>10</v>
      </c>
      <c r="Z10" s="12">
        <v>10</v>
      </c>
      <c r="AA10" s="12">
        <v>10</v>
      </c>
      <c r="AB10" s="7" t="s">
        <v>28</v>
      </c>
      <c r="AC10" s="2"/>
      <c r="AD10" s="12">
        <v>10</v>
      </c>
      <c r="AE10" s="12">
        <v>10</v>
      </c>
      <c r="AF10" s="12">
        <v>10</v>
      </c>
      <c r="AG10" s="12">
        <v>10</v>
      </c>
      <c r="AI10" s="44" t="s">
        <v>47</v>
      </c>
      <c r="AJ10" s="30">
        <v>6</v>
      </c>
    </row>
    <row r="11" spans="2:36" s="8" customFormat="1" ht="8.1" customHeight="1" x14ac:dyDescent="0.25">
      <c r="B11" s="93" t="s">
        <v>12</v>
      </c>
      <c r="C11" s="93"/>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I11" s="28"/>
    </row>
    <row r="12" spans="2:36" x14ac:dyDescent="0.25">
      <c r="B12" s="19"/>
      <c r="C12" s="20" t="s">
        <v>18</v>
      </c>
      <c r="D12" s="18">
        <v>7</v>
      </c>
      <c r="E12" s="10">
        <v>7</v>
      </c>
      <c r="F12" s="2"/>
      <c r="G12" s="2"/>
      <c r="H12" s="10">
        <v>7</v>
      </c>
      <c r="I12" s="10">
        <v>7</v>
      </c>
      <c r="J12" s="10">
        <v>7</v>
      </c>
      <c r="K12" s="10">
        <v>7</v>
      </c>
      <c r="L12" s="10">
        <v>7</v>
      </c>
      <c r="M12" s="2"/>
      <c r="N12" s="7" t="s">
        <v>28</v>
      </c>
      <c r="O12" s="10">
        <v>7</v>
      </c>
      <c r="P12" s="10">
        <v>7</v>
      </c>
      <c r="Q12" s="10">
        <v>7</v>
      </c>
      <c r="R12" s="10">
        <v>7</v>
      </c>
      <c r="S12" s="10">
        <v>7</v>
      </c>
      <c r="T12" s="2"/>
      <c r="U12" s="2"/>
      <c r="V12" s="10">
        <v>7</v>
      </c>
      <c r="W12" s="10">
        <v>7</v>
      </c>
      <c r="X12" s="10">
        <v>7</v>
      </c>
      <c r="Y12" s="10">
        <v>7</v>
      </c>
      <c r="Z12" s="10">
        <v>7</v>
      </c>
      <c r="AA12" s="2"/>
      <c r="AB12" s="7" t="s">
        <v>28</v>
      </c>
      <c r="AC12" s="5">
        <v>9</v>
      </c>
      <c r="AD12" s="10">
        <v>7</v>
      </c>
      <c r="AE12" s="10">
        <v>7</v>
      </c>
      <c r="AF12" s="10">
        <v>7</v>
      </c>
      <c r="AG12" s="10">
        <v>7</v>
      </c>
      <c r="AI12" s="42" t="s">
        <v>44</v>
      </c>
      <c r="AJ12" s="4">
        <v>6</v>
      </c>
    </row>
    <row r="13" spans="2:36" x14ac:dyDescent="0.25">
      <c r="B13" s="19"/>
      <c r="C13" s="20" t="s">
        <v>19</v>
      </c>
      <c r="D13" s="2"/>
      <c r="E13" s="2"/>
      <c r="F13" s="10">
        <v>7</v>
      </c>
      <c r="G13" s="10">
        <v>7</v>
      </c>
      <c r="H13" s="10">
        <v>7</v>
      </c>
      <c r="I13" s="10">
        <v>7</v>
      </c>
      <c r="J13" s="10">
        <v>7</v>
      </c>
      <c r="K13" s="2"/>
      <c r="L13" s="7" t="s">
        <v>28</v>
      </c>
      <c r="M13" s="10">
        <v>7</v>
      </c>
      <c r="N13" s="10">
        <v>7</v>
      </c>
      <c r="O13" s="10">
        <v>7</v>
      </c>
      <c r="P13" s="10">
        <v>7</v>
      </c>
      <c r="Q13" s="10">
        <v>7</v>
      </c>
      <c r="R13" s="2"/>
      <c r="S13" s="2"/>
      <c r="T13" s="10">
        <v>7</v>
      </c>
      <c r="U13" s="10">
        <v>7</v>
      </c>
      <c r="V13" s="10">
        <v>7</v>
      </c>
      <c r="W13" s="10">
        <v>7</v>
      </c>
      <c r="X13" s="5">
        <v>9</v>
      </c>
      <c r="Y13" s="2"/>
      <c r="Z13" s="7" t="s">
        <v>28</v>
      </c>
      <c r="AA13" s="10">
        <v>7</v>
      </c>
      <c r="AB13" s="10">
        <v>7</v>
      </c>
      <c r="AC13" s="10">
        <v>7</v>
      </c>
      <c r="AD13" s="10">
        <v>7</v>
      </c>
      <c r="AE13" s="10">
        <v>7</v>
      </c>
      <c r="AF13" s="2"/>
      <c r="AG13" s="10">
        <v>7</v>
      </c>
      <c r="AI13" s="40" t="s">
        <v>45</v>
      </c>
      <c r="AJ13">
        <v>6</v>
      </c>
    </row>
    <row r="14" spans="2:36" x14ac:dyDescent="0.25">
      <c r="B14" s="19"/>
      <c r="C14" s="20" t="s">
        <v>20</v>
      </c>
      <c r="D14" s="23"/>
      <c r="E14" s="3"/>
      <c r="F14" s="3"/>
      <c r="G14" s="3"/>
      <c r="H14" s="3"/>
      <c r="I14" s="3"/>
      <c r="J14" s="3"/>
      <c r="K14" s="3"/>
      <c r="L14" s="3"/>
      <c r="M14" s="3"/>
      <c r="N14" s="3"/>
      <c r="O14" s="3"/>
      <c r="P14" s="3"/>
      <c r="Q14" s="3"/>
      <c r="R14" s="3"/>
      <c r="S14" s="3"/>
      <c r="T14" s="3"/>
      <c r="U14" s="3"/>
      <c r="V14" s="3"/>
      <c r="W14" s="10">
        <v>7</v>
      </c>
      <c r="X14" s="10">
        <v>7</v>
      </c>
      <c r="Y14" s="10">
        <v>7</v>
      </c>
      <c r="Z14" s="10">
        <v>7</v>
      </c>
      <c r="AA14" s="48">
        <v>8</v>
      </c>
      <c r="AB14" s="48">
        <v>8</v>
      </c>
      <c r="AC14" s="10">
        <v>7</v>
      </c>
      <c r="AD14" s="5">
        <v>9</v>
      </c>
      <c r="AE14" s="2"/>
      <c r="AF14" s="10">
        <v>7</v>
      </c>
      <c r="AG14" s="10">
        <v>7</v>
      </c>
      <c r="AI14" s="45" t="s">
        <v>46</v>
      </c>
      <c r="AJ14" s="30">
        <v>1</v>
      </c>
    </row>
    <row r="15" spans="2:36" s="8" customFormat="1" ht="8.1" customHeight="1" x14ac:dyDescent="0.25">
      <c r="B15" s="93" t="s">
        <v>13</v>
      </c>
      <c r="C15" s="93"/>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I15" s="28"/>
    </row>
    <row r="16" spans="2:36" x14ac:dyDescent="0.25">
      <c r="B16" s="19"/>
      <c r="C16" s="20" t="s">
        <v>21</v>
      </c>
      <c r="D16" s="24">
        <v>9</v>
      </c>
      <c r="E16" s="9">
        <v>9</v>
      </c>
      <c r="F16" s="9">
        <v>9</v>
      </c>
      <c r="G16" s="9">
        <v>9</v>
      </c>
      <c r="H16" s="6">
        <v>8.3000000000000007</v>
      </c>
      <c r="I16" s="2"/>
      <c r="J16" s="2"/>
      <c r="K16" s="9">
        <v>9</v>
      </c>
      <c r="L16" s="9">
        <v>9</v>
      </c>
      <c r="M16" s="9">
        <v>9</v>
      </c>
      <c r="N16" s="6">
        <v>8.3000000000000007</v>
      </c>
      <c r="O16" s="6">
        <v>8.3000000000000007</v>
      </c>
      <c r="P16" s="9">
        <v>9</v>
      </c>
      <c r="Q16" s="2"/>
      <c r="R16" s="9">
        <v>9</v>
      </c>
      <c r="S16" s="17">
        <v>11</v>
      </c>
      <c r="T16" s="7" t="s">
        <v>28</v>
      </c>
      <c r="U16" s="9">
        <v>9</v>
      </c>
      <c r="V16" s="9">
        <v>9</v>
      </c>
      <c r="W16" s="2"/>
      <c r="X16" s="2"/>
      <c r="Y16" s="9">
        <v>9</v>
      </c>
      <c r="Z16" s="9">
        <v>9</v>
      </c>
      <c r="AA16" s="9">
        <v>9</v>
      </c>
      <c r="AB16" s="9">
        <v>9</v>
      </c>
      <c r="AC16" s="7" t="s">
        <v>28</v>
      </c>
      <c r="AD16" s="2"/>
      <c r="AE16" s="2"/>
      <c r="AF16" s="9">
        <v>9</v>
      </c>
      <c r="AG16" s="9">
        <v>9</v>
      </c>
      <c r="AI16" s="45" t="s">
        <v>46</v>
      </c>
      <c r="AJ16">
        <v>6</v>
      </c>
    </row>
    <row r="17" spans="2:36" x14ac:dyDescent="0.25">
      <c r="B17" s="19"/>
      <c r="C17" s="20" t="s">
        <v>22</v>
      </c>
      <c r="D17" s="18">
        <v>7</v>
      </c>
      <c r="E17" s="10">
        <v>7</v>
      </c>
      <c r="F17" s="10">
        <v>7</v>
      </c>
      <c r="G17" s="10">
        <v>7</v>
      </c>
      <c r="H17" s="2"/>
      <c r="I17" s="11" t="s">
        <v>29</v>
      </c>
      <c r="J17" s="11" t="s">
        <v>29</v>
      </c>
      <c r="K17" s="10">
        <v>7</v>
      </c>
      <c r="L17" s="10">
        <v>7</v>
      </c>
      <c r="M17" s="2"/>
      <c r="N17" s="10">
        <v>7</v>
      </c>
      <c r="O17" s="2"/>
      <c r="P17" s="10">
        <v>7</v>
      </c>
      <c r="Q17" s="11" t="s">
        <v>29</v>
      </c>
      <c r="R17" s="10">
        <v>7</v>
      </c>
      <c r="S17" s="10">
        <v>7</v>
      </c>
      <c r="T17" s="11" t="s">
        <v>29</v>
      </c>
      <c r="U17" s="2"/>
      <c r="V17" s="2"/>
      <c r="W17" s="11" t="s">
        <v>29</v>
      </c>
      <c r="X17" s="11" t="s">
        <v>29</v>
      </c>
      <c r="Y17" s="10">
        <v>7</v>
      </c>
      <c r="Z17" s="10">
        <v>7</v>
      </c>
      <c r="AA17" s="7" t="s">
        <v>28</v>
      </c>
      <c r="AB17" s="2"/>
      <c r="AC17" s="9">
        <v>9</v>
      </c>
      <c r="AD17" s="9">
        <v>9</v>
      </c>
      <c r="AE17" s="9">
        <v>9</v>
      </c>
      <c r="AF17" s="10">
        <v>7</v>
      </c>
      <c r="AG17" s="10">
        <v>7</v>
      </c>
      <c r="AI17" s="43" t="s">
        <v>48</v>
      </c>
      <c r="AJ17">
        <v>6</v>
      </c>
    </row>
    <row r="18" spans="2:36" x14ac:dyDescent="0.25">
      <c r="B18" s="19"/>
      <c r="C18" s="32" t="s">
        <v>55</v>
      </c>
      <c r="D18" s="33"/>
      <c r="E18" s="33"/>
      <c r="F18" s="33"/>
      <c r="G18" s="33"/>
      <c r="H18" s="33"/>
      <c r="I18" s="33"/>
      <c r="J18" s="33"/>
      <c r="K18" s="33"/>
      <c r="L18" s="33"/>
      <c r="M18" s="33"/>
      <c r="N18" s="33"/>
      <c r="O18" s="33"/>
      <c r="P18" s="33"/>
      <c r="Q18" s="33"/>
      <c r="R18" s="35" t="s">
        <v>59</v>
      </c>
      <c r="S18" s="35" t="s">
        <v>59</v>
      </c>
      <c r="T18" s="35" t="s">
        <v>59</v>
      </c>
      <c r="U18" s="46" t="s">
        <v>58</v>
      </c>
      <c r="V18" s="46" t="s">
        <v>58</v>
      </c>
      <c r="W18" s="35" t="s">
        <v>59</v>
      </c>
      <c r="X18" s="35" t="s">
        <v>59</v>
      </c>
      <c r="Y18" s="34"/>
      <c r="Z18" s="34"/>
      <c r="AA18" s="47" t="s">
        <v>58</v>
      </c>
      <c r="AB18" s="2"/>
      <c r="AC18" s="47" t="s">
        <v>58</v>
      </c>
      <c r="AD18" s="47" t="s">
        <v>58</v>
      </c>
      <c r="AE18" s="47" t="s">
        <v>58</v>
      </c>
      <c r="AF18" s="34"/>
      <c r="AG18" s="34"/>
      <c r="AI18" s="41" t="s">
        <v>51</v>
      </c>
    </row>
    <row r="19" spans="2:36" ht="9" customHeight="1" x14ac:dyDescent="0.25">
      <c r="B19" s="89" t="s">
        <v>14</v>
      </c>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1"/>
      <c r="AI19" s="28"/>
      <c r="AJ19" s="31"/>
    </row>
    <row r="20" spans="2:36" s="8" customFormat="1" ht="15.95" customHeight="1" x14ac:dyDescent="0.25">
      <c r="B20" s="19"/>
      <c r="C20" s="20" t="s">
        <v>24</v>
      </c>
      <c r="D20" s="2"/>
      <c r="E20" s="2"/>
      <c r="F20" s="13">
        <v>12</v>
      </c>
      <c r="G20" s="11" t="s">
        <v>29</v>
      </c>
      <c r="H20" s="11" t="s">
        <v>29</v>
      </c>
      <c r="I20" s="13">
        <v>12</v>
      </c>
      <c r="J20" s="13">
        <v>12</v>
      </c>
      <c r="K20" s="7" t="s">
        <v>28</v>
      </c>
      <c r="L20" s="2"/>
      <c r="M20" s="11" t="s">
        <v>29</v>
      </c>
      <c r="N20" s="11" t="s">
        <v>29</v>
      </c>
      <c r="O20" s="13">
        <v>12</v>
      </c>
      <c r="P20" s="13">
        <v>12</v>
      </c>
      <c r="Q20" s="13">
        <v>12</v>
      </c>
      <c r="R20" s="2"/>
      <c r="S20" s="2"/>
      <c r="T20" s="13">
        <v>12</v>
      </c>
      <c r="U20" s="13">
        <v>12</v>
      </c>
      <c r="V20" s="13">
        <v>12</v>
      </c>
      <c r="W20" s="13">
        <v>12</v>
      </c>
      <c r="X20" s="13">
        <v>12</v>
      </c>
      <c r="Y20" s="7" t="s">
        <v>28</v>
      </c>
      <c r="Z20" s="2"/>
      <c r="AA20" s="13">
        <v>12</v>
      </c>
      <c r="AB20" s="13">
        <v>12</v>
      </c>
      <c r="AC20" s="13">
        <v>12</v>
      </c>
      <c r="AD20" s="13">
        <v>12</v>
      </c>
      <c r="AE20" s="13">
        <v>12</v>
      </c>
      <c r="AF20" s="13">
        <v>12</v>
      </c>
      <c r="AG20" s="2"/>
      <c r="AI20" s="41" t="s">
        <v>51</v>
      </c>
      <c r="AJ20" s="31">
        <v>7</v>
      </c>
    </row>
    <row r="21" spans="2:36" x14ac:dyDescent="0.25">
      <c r="B21" s="26"/>
      <c r="C21" s="27" t="s">
        <v>25</v>
      </c>
      <c r="D21" s="23"/>
      <c r="E21" s="3"/>
      <c r="F21" s="3"/>
      <c r="G21" s="3"/>
      <c r="H21" s="3"/>
      <c r="I21" s="9">
        <v>9</v>
      </c>
      <c r="J21" s="9">
        <v>9</v>
      </c>
      <c r="K21" s="13">
        <v>12</v>
      </c>
      <c r="L21" s="13">
        <v>12</v>
      </c>
      <c r="M21" s="13">
        <v>12</v>
      </c>
      <c r="N21" s="13">
        <v>12</v>
      </c>
      <c r="O21" s="2"/>
      <c r="P21" s="2"/>
      <c r="Q21" s="9">
        <v>9</v>
      </c>
      <c r="R21" s="13">
        <v>12</v>
      </c>
      <c r="S21" s="13">
        <v>12</v>
      </c>
      <c r="T21" s="10">
        <v>7</v>
      </c>
      <c r="U21" s="10">
        <v>7</v>
      </c>
      <c r="V21" s="2"/>
      <c r="W21" s="9">
        <v>9</v>
      </c>
      <c r="X21" s="9">
        <v>9</v>
      </c>
      <c r="Y21" s="13">
        <v>12</v>
      </c>
      <c r="Z21" s="13">
        <v>12</v>
      </c>
      <c r="AA21" s="10">
        <v>7</v>
      </c>
      <c r="AB21" s="10">
        <v>7</v>
      </c>
      <c r="AC21" s="2"/>
      <c r="AD21" s="2"/>
      <c r="AE21" s="9">
        <v>9</v>
      </c>
      <c r="AF21" s="9">
        <v>9</v>
      </c>
      <c r="AG21" s="13">
        <v>12</v>
      </c>
      <c r="AI21" s="44" t="s">
        <v>47</v>
      </c>
      <c r="AJ21" s="31">
        <v>5</v>
      </c>
    </row>
    <row r="22" spans="2:36" x14ac:dyDescent="0.25">
      <c r="B22" s="19"/>
      <c r="C22" s="20" t="s">
        <v>23</v>
      </c>
      <c r="D22" s="11" t="s">
        <v>29</v>
      </c>
      <c r="E22" s="11" t="s">
        <v>29</v>
      </c>
      <c r="F22" s="10">
        <v>7</v>
      </c>
      <c r="G22" s="2"/>
      <c r="H22" s="7" t="s">
        <v>28</v>
      </c>
      <c r="I22" s="10">
        <v>7</v>
      </c>
      <c r="J22" s="10">
        <v>7</v>
      </c>
      <c r="K22" s="11" t="s">
        <v>29</v>
      </c>
      <c r="L22" s="11" t="s">
        <v>29</v>
      </c>
      <c r="M22" s="2"/>
      <c r="N22" s="2"/>
      <c r="O22" s="10">
        <v>7</v>
      </c>
      <c r="P22" s="10">
        <v>7</v>
      </c>
      <c r="Q22" s="10">
        <v>7</v>
      </c>
      <c r="R22" s="10">
        <v>7</v>
      </c>
      <c r="S22" s="10">
        <v>7</v>
      </c>
      <c r="T22" s="2"/>
      <c r="U22" s="7" t="s">
        <v>28</v>
      </c>
      <c r="V22" s="10">
        <v>7</v>
      </c>
      <c r="W22" s="10">
        <v>7</v>
      </c>
      <c r="X22" s="10">
        <v>7</v>
      </c>
      <c r="Y22" s="10">
        <v>7</v>
      </c>
      <c r="Z22" s="10">
        <v>7</v>
      </c>
      <c r="AA22" s="2"/>
      <c r="AB22" s="2"/>
      <c r="AC22" s="10">
        <v>7</v>
      </c>
      <c r="AD22" s="10">
        <v>7</v>
      </c>
      <c r="AE22" s="10">
        <v>7</v>
      </c>
      <c r="AF22" s="10">
        <v>7</v>
      </c>
      <c r="AG22" s="10">
        <v>7</v>
      </c>
      <c r="AI22" s="43" t="s">
        <v>48</v>
      </c>
      <c r="AJ22" s="30">
        <v>6</v>
      </c>
    </row>
    <row r="23" spans="2:36" x14ac:dyDescent="0.25">
      <c r="N23"/>
      <c r="AI23" s="28"/>
    </row>
    <row r="24" spans="2:36" x14ac:dyDescent="0.25">
      <c r="B24" s="81" t="s">
        <v>54</v>
      </c>
      <c r="C24" s="81"/>
      <c r="K24" s="15">
        <v>4</v>
      </c>
      <c r="L24" s="15">
        <v>4</v>
      </c>
      <c r="M24" s="16">
        <v>1</v>
      </c>
      <c r="N24" s="15">
        <v>3</v>
      </c>
      <c r="O24" s="15">
        <v>2</v>
      </c>
      <c r="P24" s="15">
        <v>2</v>
      </c>
      <c r="Q24" s="15">
        <v>2</v>
      </c>
      <c r="R24" s="16">
        <v>1</v>
      </c>
      <c r="S24" s="16"/>
      <c r="X24" s="15">
        <v>1</v>
      </c>
      <c r="Y24" s="15">
        <v>1</v>
      </c>
      <c r="Z24" s="15">
        <v>1</v>
      </c>
      <c r="AA24" s="16"/>
    </row>
    <row r="25" spans="2:36" x14ac:dyDescent="0.25">
      <c r="B25" s="81" t="s">
        <v>30</v>
      </c>
      <c r="C25" s="81"/>
      <c r="D25" s="1">
        <v>9</v>
      </c>
      <c r="E25" s="1">
        <v>9</v>
      </c>
      <c r="F25" s="1">
        <v>9</v>
      </c>
      <c r="G25" s="1">
        <v>9</v>
      </c>
      <c r="H25" s="1">
        <v>9</v>
      </c>
      <c r="I25" s="1">
        <v>10</v>
      </c>
      <c r="J25" s="1">
        <v>10</v>
      </c>
      <c r="K25" s="1">
        <v>10</v>
      </c>
      <c r="L25" s="1">
        <v>10</v>
      </c>
      <c r="M25" s="1">
        <v>10</v>
      </c>
      <c r="N25" s="1">
        <v>10</v>
      </c>
      <c r="O25" s="1">
        <v>10</v>
      </c>
      <c r="P25" s="1">
        <v>10</v>
      </c>
      <c r="Q25" s="1">
        <v>10</v>
      </c>
      <c r="R25" s="1">
        <v>11</v>
      </c>
      <c r="S25" s="1">
        <v>11</v>
      </c>
      <c r="T25" s="1">
        <v>11</v>
      </c>
      <c r="U25" s="1">
        <v>11</v>
      </c>
      <c r="V25" s="1">
        <v>11</v>
      </c>
      <c r="W25" s="1">
        <v>12</v>
      </c>
      <c r="X25" s="1">
        <v>12</v>
      </c>
      <c r="Y25" s="1">
        <v>12</v>
      </c>
      <c r="Z25" s="1">
        <v>12</v>
      </c>
      <c r="AA25" s="1">
        <v>12</v>
      </c>
      <c r="AB25" s="1">
        <v>12</v>
      </c>
      <c r="AC25" s="1">
        <v>12</v>
      </c>
      <c r="AD25" s="1">
        <v>12</v>
      </c>
      <c r="AE25" s="1">
        <v>12</v>
      </c>
      <c r="AF25" s="1">
        <v>12</v>
      </c>
      <c r="AG25" s="1">
        <v>12</v>
      </c>
    </row>
    <row r="26" spans="2:36" x14ac:dyDescent="0.25">
      <c r="B26" s="81" t="s">
        <v>31</v>
      </c>
      <c r="C26" s="81"/>
      <c r="D26" s="1">
        <v>2</v>
      </c>
      <c r="E26" s="1">
        <v>2</v>
      </c>
      <c r="F26" s="1">
        <v>1</v>
      </c>
      <c r="G26" s="1">
        <v>3</v>
      </c>
      <c r="H26" s="1">
        <v>2</v>
      </c>
      <c r="I26" s="1">
        <v>3</v>
      </c>
      <c r="J26" s="1">
        <v>2</v>
      </c>
      <c r="K26" s="1">
        <v>1</v>
      </c>
      <c r="L26" s="1">
        <v>1</v>
      </c>
      <c r="M26" s="1">
        <v>3</v>
      </c>
      <c r="N26" s="1">
        <v>2</v>
      </c>
      <c r="O26" s="1">
        <v>3</v>
      </c>
      <c r="P26" s="1">
        <v>1</v>
      </c>
      <c r="Q26" s="1">
        <v>2</v>
      </c>
      <c r="R26" s="1">
        <v>2</v>
      </c>
      <c r="S26" s="1">
        <v>4</v>
      </c>
      <c r="T26" s="1">
        <v>3</v>
      </c>
      <c r="U26" s="1">
        <v>3</v>
      </c>
      <c r="V26" s="1">
        <v>3</v>
      </c>
      <c r="W26" s="1">
        <v>3</v>
      </c>
      <c r="X26" s="1">
        <v>2</v>
      </c>
      <c r="Y26" s="1">
        <v>2</v>
      </c>
      <c r="Z26" s="1">
        <v>2</v>
      </c>
      <c r="AA26" s="1">
        <v>2</v>
      </c>
      <c r="AB26" s="1">
        <v>4</v>
      </c>
      <c r="AC26" s="1">
        <v>4</v>
      </c>
      <c r="AD26" s="1">
        <v>4</v>
      </c>
      <c r="AE26" s="1">
        <v>3</v>
      </c>
      <c r="AF26" s="1">
        <v>2</v>
      </c>
      <c r="AG26" s="1">
        <v>3</v>
      </c>
    </row>
    <row r="27" spans="2:36" x14ac:dyDescent="0.25">
      <c r="B27" s="81" t="s">
        <v>32</v>
      </c>
      <c r="C27" s="81"/>
      <c r="D27" s="1">
        <v>0</v>
      </c>
      <c r="E27" s="1">
        <v>0</v>
      </c>
      <c r="F27" s="1">
        <v>0</v>
      </c>
      <c r="G27" s="1">
        <v>0</v>
      </c>
      <c r="H27" s="1">
        <v>1</v>
      </c>
      <c r="I27" s="1">
        <v>0</v>
      </c>
      <c r="J27" s="1">
        <v>0</v>
      </c>
      <c r="K27" s="1">
        <v>1</v>
      </c>
      <c r="L27" s="1">
        <v>1</v>
      </c>
      <c r="M27" s="1">
        <v>0</v>
      </c>
      <c r="N27" s="1">
        <v>1</v>
      </c>
      <c r="O27" s="1">
        <v>0</v>
      </c>
      <c r="P27" s="1">
        <v>2</v>
      </c>
      <c r="Q27" s="1">
        <v>0</v>
      </c>
      <c r="R27" s="1">
        <v>0</v>
      </c>
      <c r="S27" s="1">
        <v>0</v>
      </c>
      <c r="T27" s="1">
        <v>1</v>
      </c>
      <c r="U27" s="1">
        <v>1</v>
      </c>
      <c r="V27" s="1">
        <v>1</v>
      </c>
      <c r="W27" s="1">
        <v>0</v>
      </c>
      <c r="X27" s="1">
        <v>0</v>
      </c>
      <c r="Y27" s="1">
        <v>1</v>
      </c>
      <c r="Z27" s="1">
        <v>1</v>
      </c>
      <c r="AA27" s="1">
        <v>0</v>
      </c>
      <c r="AB27" s="1">
        <v>2</v>
      </c>
      <c r="AC27" s="1">
        <v>1</v>
      </c>
      <c r="AD27" s="1">
        <v>2</v>
      </c>
      <c r="AE27" s="1">
        <v>0</v>
      </c>
      <c r="AF27" s="1">
        <v>0</v>
      </c>
      <c r="AG27" s="1">
        <v>0</v>
      </c>
    </row>
    <row r="28" spans="2:36" x14ac:dyDescent="0.25">
      <c r="B28" s="80" t="s">
        <v>33</v>
      </c>
      <c r="C28" s="80"/>
      <c r="D28" s="5">
        <f>D25-D26-D27</f>
        <v>7</v>
      </c>
      <c r="E28" s="5">
        <f>E25-E26-E27</f>
        <v>7</v>
      </c>
      <c r="F28" s="5">
        <f>F25-F26-F27</f>
        <v>8</v>
      </c>
      <c r="G28" s="5">
        <f>G25-G26-G27</f>
        <v>6</v>
      </c>
      <c r="H28" s="5">
        <f>H25-H26-H27</f>
        <v>6</v>
      </c>
      <c r="I28" s="5">
        <f t="shared" ref="I28:O28" si="0">I25-I26-I27</f>
        <v>7</v>
      </c>
      <c r="J28" s="5">
        <f t="shared" si="0"/>
        <v>8</v>
      </c>
      <c r="K28" s="5">
        <f t="shared" si="0"/>
        <v>8</v>
      </c>
      <c r="L28" s="5">
        <f t="shared" si="0"/>
        <v>8</v>
      </c>
      <c r="M28" s="5">
        <f t="shared" si="0"/>
        <v>7</v>
      </c>
      <c r="N28" s="5">
        <f t="shared" si="0"/>
        <v>7</v>
      </c>
      <c r="O28" s="5">
        <f t="shared" si="0"/>
        <v>7</v>
      </c>
      <c r="P28" s="5">
        <f>P25-P26-P27</f>
        <v>7</v>
      </c>
      <c r="Q28" s="5">
        <f t="shared" ref="Q28:AG28" si="1">Q25-Q26-Q27</f>
        <v>8</v>
      </c>
      <c r="R28" s="5">
        <f t="shared" si="1"/>
        <v>9</v>
      </c>
      <c r="S28" s="5">
        <f t="shared" si="1"/>
        <v>7</v>
      </c>
      <c r="T28" s="5">
        <f t="shared" si="1"/>
        <v>7</v>
      </c>
      <c r="U28" s="5">
        <f t="shared" si="1"/>
        <v>7</v>
      </c>
      <c r="V28" s="5">
        <f t="shared" si="1"/>
        <v>7</v>
      </c>
      <c r="W28" s="5">
        <f t="shared" si="1"/>
        <v>9</v>
      </c>
      <c r="X28" s="5">
        <f t="shared" si="1"/>
        <v>10</v>
      </c>
      <c r="Y28" s="5">
        <f t="shared" si="1"/>
        <v>9</v>
      </c>
      <c r="Z28" s="5">
        <f t="shared" si="1"/>
        <v>9</v>
      </c>
      <c r="AA28" s="5">
        <f t="shared" si="1"/>
        <v>10</v>
      </c>
      <c r="AB28" s="5">
        <f t="shared" si="1"/>
        <v>6</v>
      </c>
      <c r="AC28" s="5">
        <f t="shared" si="1"/>
        <v>7</v>
      </c>
      <c r="AD28" s="5">
        <f t="shared" si="1"/>
        <v>6</v>
      </c>
      <c r="AE28" s="5">
        <f t="shared" si="1"/>
        <v>9</v>
      </c>
      <c r="AF28" s="5">
        <f t="shared" si="1"/>
        <v>10</v>
      </c>
      <c r="AG28" s="5">
        <f t="shared" si="1"/>
        <v>9</v>
      </c>
    </row>
    <row r="31" spans="2:36" ht="15.75" customHeight="1" x14ac:dyDescent="0.25">
      <c r="S31" s="83" t="s">
        <v>35</v>
      </c>
      <c r="T31" s="84"/>
      <c r="U31" s="84"/>
      <c r="V31" s="85"/>
      <c r="W31" s="97" t="s">
        <v>36</v>
      </c>
      <c r="X31" s="98"/>
      <c r="Y31" s="98"/>
      <c r="Z31" s="98"/>
      <c r="AA31" s="98"/>
      <c r="AB31" s="98"/>
      <c r="AC31" s="98"/>
      <c r="AD31" s="98"/>
      <c r="AE31" s="98"/>
      <c r="AF31" s="98"/>
      <c r="AG31" s="99"/>
    </row>
    <row r="32" spans="2:36" ht="15.95" customHeight="1" x14ac:dyDescent="0.25">
      <c r="D32" s="10">
        <v>7</v>
      </c>
      <c r="E32" s="75" t="s">
        <v>37</v>
      </c>
      <c r="F32" s="76"/>
      <c r="G32" s="76"/>
      <c r="H32" s="76"/>
      <c r="I32" s="76"/>
      <c r="J32" s="76"/>
      <c r="L32" s="48">
        <v>8</v>
      </c>
      <c r="M32" s="75" t="s">
        <v>62</v>
      </c>
      <c r="N32" s="76"/>
      <c r="O32" s="76"/>
      <c r="P32" s="76"/>
      <c r="Q32" s="76"/>
      <c r="R32" s="82"/>
      <c r="S32" s="75"/>
      <c r="T32" s="76"/>
      <c r="U32" s="76"/>
      <c r="V32" s="82"/>
      <c r="W32" s="100"/>
      <c r="X32" s="101"/>
      <c r="Y32" s="101"/>
      <c r="Z32" s="101"/>
      <c r="AA32" s="101"/>
      <c r="AB32" s="101"/>
      <c r="AC32" s="101"/>
      <c r="AD32" s="101"/>
      <c r="AE32" s="101"/>
      <c r="AF32" s="101"/>
      <c r="AG32" s="102"/>
    </row>
    <row r="33" spans="4:33" x14ac:dyDescent="0.25">
      <c r="D33" s="9">
        <v>9</v>
      </c>
      <c r="E33" s="75" t="s">
        <v>53</v>
      </c>
      <c r="F33" s="76"/>
      <c r="G33" s="76"/>
      <c r="H33" s="76"/>
      <c r="I33" s="76"/>
      <c r="J33" s="76"/>
      <c r="L33" s="5">
        <v>9</v>
      </c>
      <c r="M33" s="75" t="s">
        <v>40</v>
      </c>
      <c r="N33" s="76"/>
      <c r="O33" s="76"/>
      <c r="P33" s="76"/>
      <c r="Q33" s="76"/>
      <c r="R33" s="76"/>
      <c r="S33" s="75"/>
      <c r="T33" s="76"/>
      <c r="U33" s="76"/>
      <c r="V33" s="82"/>
      <c r="W33" s="100"/>
      <c r="X33" s="101"/>
      <c r="Y33" s="101"/>
      <c r="Z33" s="101"/>
      <c r="AA33" s="101"/>
      <c r="AB33" s="101"/>
      <c r="AC33" s="101"/>
      <c r="AD33" s="101"/>
      <c r="AE33" s="101"/>
      <c r="AF33" s="101"/>
      <c r="AG33" s="102"/>
    </row>
    <row r="34" spans="4:33" x14ac:dyDescent="0.25">
      <c r="D34" s="13">
        <v>12</v>
      </c>
      <c r="E34" s="75" t="s">
        <v>38</v>
      </c>
      <c r="F34" s="76"/>
      <c r="G34" s="76"/>
      <c r="H34" s="76"/>
      <c r="I34" s="76"/>
      <c r="J34" s="76"/>
      <c r="L34" s="17">
        <v>11</v>
      </c>
      <c r="M34" s="75" t="s">
        <v>41</v>
      </c>
      <c r="N34" s="76"/>
      <c r="O34" s="76"/>
      <c r="P34" s="76"/>
      <c r="Q34" s="76"/>
      <c r="R34" s="82"/>
      <c r="S34" s="75"/>
      <c r="T34" s="76"/>
      <c r="U34" s="76"/>
      <c r="V34" s="82"/>
      <c r="W34" s="100"/>
      <c r="X34" s="101"/>
      <c r="Y34" s="101"/>
      <c r="Z34" s="101"/>
      <c r="AA34" s="101"/>
      <c r="AB34" s="101"/>
      <c r="AC34" s="101"/>
      <c r="AD34" s="101"/>
      <c r="AE34" s="101"/>
      <c r="AF34" s="101"/>
      <c r="AG34" s="102"/>
    </row>
    <row r="35" spans="4:33" x14ac:dyDescent="0.25">
      <c r="D35" s="6">
        <v>8.3000000000000007</v>
      </c>
      <c r="E35" s="75" t="s">
        <v>42</v>
      </c>
      <c r="F35" s="76"/>
      <c r="G35" s="76"/>
      <c r="H35" s="76"/>
      <c r="I35" s="76"/>
      <c r="J35" s="76"/>
      <c r="L35" s="7" t="s">
        <v>28</v>
      </c>
      <c r="M35" s="75" t="s">
        <v>50</v>
      </c>
      <c r="N35" s="76"/>
      <c r="O35" s="76"/>
      <c r="P35" s="76"/>
      <c r="Q35" s="76"/>
      <c r="R35" s="82"/>
      <c r="S35" s="75"/>
      <c r="T35" s="76"/>
      <c r="U35" s="76"/>
      <c r="V35" s="82"/>
      <c r="W35" s="100"/>
      <c r="X35" s="101"/>
      <c r="Y35" s="101"/>
      <c r="Z35" s="101"/>
      <c r="AA35" s="101"/>
      <c r="AB35" s="101"/>
      <c r="AC35" s="101"/>
      <c r="AD35" s="101"/>
      <c r="AE35" s="101"/>
      <c r="AF35" s="101"/>
      <c r="AG35" s="102"/>
    </row>
    <row r="36" spans="4:33" x14ac:dyDescent="0.25">
      <c r="D36" s="21" t="s">
        <v>49</v>
      </c>
      <c r="E36" s="75" t="s">
        <v>52</v>
      </c>
      <c r="F36" s="76"/>
      <c r="G36" s="76"/>
      <c r="H36" s="76"/>
      <c r="I36" s="76"/>
      <c r="J36" s="76"/>
      <c r="L36" s="11" t="s">
        <v>29</v>
      </c>
      <c r="M36" s="75" t="s">
        <v>39</v>
      </c>
      <c r="N36" s="76"/>
      <c r="O36" s="76"/>
      <c r="P36" s="76"/>
      <c r="Q36" s="76"/>
      <c r="R36" s="82"/>
      <c r="S36" s="86"/>
      <c r="T36" s="87"/>
      <c r="U36" s="87"/>
      <c r="V36" s="88"/>
      <c r="W36" s="77" t="s">
        <v>57</v>
      </c>
      <c r="X36" s="78"/>
      <c r="Y36" s="78"/>
      <c r="Z36" s="78"/>
      <c r="AA36" s="78"/>
      <c r="AB36" s="78"/>
      <c r="AC36" s="78"/>
      <c r="AD36" s="78"/>
      <c r="AE36" s="78"/>
      <c r="AF36" s="78"/>
      <c r="AG36" s="79"/>
    </row>
    <row r="38" spans="4:33" x14ac:dyDescent="0.25">
      <c r="D38" s="46" t="s">
        <v>58</v>
      </c>
      <c r="E38" s="75" t="s">
        <v>60</v>
      </c>
      <c r="F38" s="76"/>
      <c r="G38" s="76"/>
      <c r="H38" s="76"/>
      <c r="I38" s="76"/>
      <c r="J38" s="76"/>
      <c r="L38" s="35" t="s">
        <v>59</v>
      </c>
      <c r="M38" s="75" t="s">
        <v>56</v>
      </c>
      <c r="N38" s="76"/>
      <c r="O38" s="76"/>
      <c r="P38" s="76"/>
      <c r="Q38" s="76"/>
      <c r="R38" s="76"/>
    </row>
  </sheetData>
  <mergeCells count="27">
    <mergeCell ref="B19:AG19"/>
    <mergeCell ref="E35:J35"/>
    <mergeCell ref="E36:J36"/>
    <mergeCell ref="B1:AG1"/>
    <mergeCell ref="B15:AG15"/>
    <mergeCell ref="B11:AG11"/>
    <mergeCell ref="B6:AG6"/>
    <mergeCell ref="B4:AG4"/>
    <mergeCell ref="B2:C3"/>
    <mergeCell ref="B25:C25"/>
    <mergeCell ref="B24:C24"/>
    <mergeCell ref="E33:J33"/>
    <mergeCell ref="E32:J32"/>
    <mergeCell ref="E34:J34"/>
    <mergeCell ref="W31:AG35"/>
    <mergeCell ref="B26:C26"/>
    <mergeCell ref="E38:J38"/>
    <mergeCell ref="M38:R38"/>
    <mergeCell ref="W36:AG36"/>
    <mergeCell ref="B28:C28"/>
    <mergeCell ref="B27:C27"/>
    <mergeCell ref="M33:R33"/>
    <mergeCell ref="M34:R34"/>
    <mergeCell ref="S31:V36"/>
    <mergeCell ref="M36:R36"/>
    <mergeCell ref="M35:R35"/>
    <mergeCell ref="M32:R32"/>
  </mergeCells>
  <phoneticPr fontId="3" type="noConversion"/>
  <pageMargins left="0.39370078740157483" right="0.19685039370078741" top="0.35433070866141736" bottom="0.35433070866141736" header="0.31496062992125984" footer="0.31496062992125984"/>
  <pageSetup scale="81" orientation="landscape" horizontalDpi="1200" verticalDpi="1200" r:id="rId1"/>
  <colBreaks count="1" manualBreakCount="1">
    <brk id="33"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4FDF-1486-440C-BA0A-3A5583B9A6ED}">
  <dimension ref="B1:AM43"/>
  <sheetViews>
    <sheetView showGridLines="0" view="pageBreakPreview" zoomScaleNormal="85" zoomScaleSheetLayoutView="100" workbookViewId="0">
      <selection activeCell="G2" sqref="G1:G1048576"/>
    </sheetView>
  </sheetViews>
  <sheetFormatPr defaultColWidth="11" defaultRowHeight="15.75" x14ac:dyDescent="0.25"/>
  <cols>
    <col min="1" max="1" width="1.5" customWidth="1"/>
    <col min="2" max="2" width="2.5" customWidth="1"/>
    <col min="4" max="34" width="4.5" style="1" customWidth="1"/>
    <col min="35" max="35" width="5.375" customWidth="1"/>
  </cols>
  <sheetData>
    <row r="1" spans="2:39" ht="18.75" x14ac:dyDescent="0.3">
      <c r="B1" s="92" t="s">
        <v>61</v>
      </c>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row>
    <row r="2" spans="2:39" x14ac:dyDescent="0.25">
      <c r="B2" s="96"/>
      <c r="C2" s="96"/>
      <c r="D2" s="2" t="s">
        <v>1</v>
      </c>
      <c r="E2" s="2" t="s">
        <v>5</v>
      </c>
      <c r="F2" s="2" t="s">
        <v>2</v>
      </c>
      <c r="G2" s="6" t="s">
        <v>4</v>
      </c>
      <c r="H2" s="6" t="s">
        <v>6</v>
      </c>
      <c r="I2" s="2" t="s">
        <v>7</v>
      </c>
      <c r="J2" s="2" t="s">
        <v>3</v>
      </c>
      <c r="K2" s="2" t="s">
        <v>1</v>
      </c>
      <c r="L2" s="2" t="s">
        <v>5</v>
      </c>
      <c r="M2" s="2" t="s">
        <v>8</v>
      </c>
      <c r="N2" s="6" t="s">
        <v>4</v>
      </c>
      <c r="O2" s="6" t="s">
        <v>9</v>
      </c>
      <c r="P2" s="2" t="s">
        <v>7</v>
      </c>
      <c r="Q2" s="2" t="s">
        <v>3</v>
      </c>
      <c r="R2" s="2" t="s">
        <v>1</v>
      </c>
      <c r="S2" s="2" t="s">
        <v>5</v>
      </c>
      <c r="T2" s="2" t="s">
        <v>8</v>
      </c>
      <c r="U2" s="6" t="s">
        <v>4</v>
      </c>
      <c r="V2" s="6" t="s">
        <v>9</v>
      </c>
      <c r="W2" s="2" t="s">
        <v>7</v>
      </c>
      <c r="X2" s="2" t="s">
        <v>3</v>
      </c>
      <c r="Y2" s="2" t="s">
        <v>1</v>
      </c>
      <c r="Z2" s="2" t="s">
        <v>5</v>
      </c>
      <c r="AA2" s="2" t="s">
        <v>8</v>
      </c>
      <c r="AB2" s="6" t="s">
        <v>4</v>
      </c>
      <c r="AC2" s="6" t="s">
        <v>9</v>
      </c>
      <c r="AD2" s="2" t="s">
        <v>7</v>
      </c>
      <c r="AE2" s="2" t="s">
        <v>3</v>
      </c>
      <c r="AF2" s="2" t="s">
        <v>1</v>
      </c>
      <c r="AG2" s="2" t="s">
        <v>5</v>
      </c>
      <c r="AH2" s="2" t="s">
        <v>8</v>
      </c>
    </row>
    <row r="3" spans="2:39" x14ac:dyDescent="0.25">
      <c r="B3" s="96"/>
      <c r="C3" s="96"/>
      <c r="D3" s="5">
        <v>1</v>
      </c>
      <c r="E3" s="5">
        <v>2</v>
      </c>
      <c r="F3" s="6">
        <v>3</v>
      </c>
      <c r="G3" s="5">
        <v>4</v>
      </c>
      <c r="H3" s="5">
        <v>5</v>
      </c>
      <c r="I3" s="5">
        <v>6</v>
      </c>
      <c r="J3" s="5">
        <v>7</v>
      </c>
      <c r="K3" s="5">
        <v>8</v>
      </c>
      <c r="L3" s="5">
        <v>9</v>
      </c>
      <c r="M3" s="5">
        <v>10</v>
      </c>
      <c r="N3" s="5">
        <v>11</v>
      </c>
      <c r="O3" s="5">
        <v>12</v>
      </c>
      <c r="P3" s="5">
        <v>13</v>
      </c>
      <c r="Q3" s="6">
        <v>14</v>
      </c>
      <c r="R3" s="6">
        <v>15</v>
      </c>
      <c r="S3" s="5">
        <v>16</v>
      </c>
      <c r="T3" s="5">
        <v>17</v>
      </c>
      <c r="U3" s="5">
        <v>18</v>
      </c>
      <c r="V3" s="5">
        <v>19</v>
      </c>
      <c r="W3" s="5">
        <v>20</v>
      </c>
      <c r="X3" s="5">
        <v>21</v>
      </c>
      <c r="Y3" s="5">
        <v>22</v>
      </c>
      <c r="Z3" s="5">
        <v>23</v>
      </c>
      <c r="AA3" s="5">
        <v>24</v>
      </c>
      <c r="AB3" s="5">
        <v>25</v>
      </c>
      <c r="AC3" s="5">
        <v>26</v>
      </c>
      <c r="AD3" s="5">
        <v>27</v>
      </c>
      <c r="AE3" s="5">
        <v>28</v>
      </c>
      <c r="AF3" s="5">
        <v>29</v>
      </c>
      <c r="AG3" s="5">
        <v>30</v>
      </c>
      <c r="AH3" s="5">
        <v>31</v>
      </c>
    </row>
    <row r="4" spans="2:39" s="8" customFormat="1" ht="8.1" customHeight="1" x14ac:dyDescent="0.2">
      <c r="B4" s="95" t="s">
        <v>10</v>
      </c>
      <c r="C4" s="95"/>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row>
    <row r="5" spans="2:39" x14ac:dyDescent="0.25">
      <c r="B5" s="29"/>
      <c r="C5" s="20" t="s">
        <v>16</v>
      </c>
      <c r="D5" s="10">
        <v>7</v>
      </c>
      <c r="E5" s="10">
        <v>7</v>
      </c>
      <c r="F5" s="10">
        <v>7</v>
      </c>
      <c r="G5" s="10">
        <v>7</v>
      </c>
      <c r="H5" s="2"/>
      <c r="I5" s="10">
        <v>7</v>
      </c>
      <c r="J5" s="10">
        <v>7</v>
      </c>
      <c r="K5" s="10">
        <v>7</v>
      </c>
      <c r="L5" s="10">
        <v>7</v>
      </c>
      <c r="M5" s="10">
        <v>7</v>
      </c>
      <c r="N5" s="10">
        <v>7</v>
      </c>
      <c r="O5" s="10">
        <v>7</v>
      </c>
      <c r="P5" s="2"/>
      <c r="Q5" s="2"/>
      <c r="R5" s="10">
        <v>7</v>
      </c>
      <c r="S5" s="10">
        <v>7</v>
      </c>
      <c r="T5" s="10">
        <v>7</v>
      </c>
      <c r="U5" s="2"/>
      <c r="V5" s="10">
        <v>7</v>
      </c>
      <c r="W5" s="10">
        <v>7</v>
      </c>
      <c r="X5" s="10">
        <v>7</v>
      </c>
      <c r="Y5" s="10">
        <v>7</v>
      </c>
      <c r="Z5" s="10">
        <v>7</v>
      </c>
      <c r="AA5" s="10">
        <v>7</v>
      </c>
      <c r="AB5" s="2"/>
      <c r="AC5" s="2"/>
      <c r="AD5" s="10">
        <v>7</v>
      </c>
      <c r="AE5" s="10">
        <v>7</v>
      </c>
      <c r="AF5" s="10">
        <v>7</v>
      </c>
      <c r="AG5" s="10">
        <v>7</v>
      </c>
      <c r="AH5" s="10">
        <v>7</v>
      </c>
      <c r="AJ5" s="39" t="s">
        <v>43</v>
      </c>
      <c r="AK5" s="57">
        <v>6</v>
      </c>
    </row>
    <row r="6" spans="2:39" s="8" customFormat="1" ht="8.1" customHeight="1" x14ac:dyDescent="0.25">
      <c r="B6" s="93" t="s">
        <v>11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J6" s="28"/>
      <c r="AK6" s="58"/>
    </row>
    <row r="7" spans="2:39" x14ac:dyDescent="0.25">
      <c r="B7" s="37"/>
      <c r="C7" s="38" t="s">
        <v>17</v>
      </c>
      <c r="D7" s="2"/>
      <c r="E7" s="53" t="s">
        <v>28</v>
      </c>
      <c r="F7" s="53" t="s">
        <v>28</v>
      </c>
      <c r="G7" s="2"/>
      <c r="H7" s="14" t="s">
        <v>49</v>
      </c>
      <c r="I7" s="14" t="s">
        <v>49</v>
      </c>
      <c r="J7" s="14" t="s">
        <v>49</v>
      </c>
      <c r="K7" s="14" t="s">
        <v>49</v>
      </c>
      <c r="L7" s="14" t="s">
        <v>49</v>
      </c>
      <c r="M7" s="14" t="s">
        <v>49</v>
      </c>
      <c r="N7" s="14" t="s">
        <v>49</v>
      </c>
      <c r="O7" s="14" t="s">
        <v>49</v>
      </c>
      <c r="P7" s="14" t="s">
        <v>49</v>
      </c>
      <c r="Q7" s="2"/>
      <c r="R7" s="14" t="s">
        <v>49</v>
      </c>
      <c r="S7" s="14" t="s">
        <v>49</v>
      </c>
      <c r="T7" s="14" t="s">
        <v>49</v>
      </c>
      <c r="U7" s="14" t="s">
        <v>49</v>
      </c>
      <c r="V7" s="14" t="s">
        <v>49</v>
      </c>
      <c r="W7" s="2"/>
      <c r="X7" s="2"/>
      <c r="Y7" s="53" t="s">
        <v>28</v>
      </c>
      <c r="Z7" s="14" t="s">
        <v>49</v>
      </c>
      <c r="AA7" s="14" t="s">
        <v>49</v>
      </c>
      <c r="AB7" s="14" t="s">
        <v>49</v>
      </c>
      <c r="AC7" s="14" t="s">
        <v>49</v>
      </c>
      <c r="AD7" s="14" t="s">
        <v>49</v>
      </c>
      <c r="AE7" s="53" t="s">
        <v>28</v>
      </c>
      <c r="AF7" s="2"/>
      <c r="AG7" s="14" t="s">
        <v>49</v>
      </c>
      <c r="AH7" s="14" t="s">
        <v>49</v>
      </c>
      <c r="AJ7" s="41" t="s">
        <v>51</v>
      </c>
      <c r="AK7" s="31">
        <v>7</v>
      </c>
    </row>
    <row r="8" spans="2:39" x14ac:dyDescent="0.25">
      <c r="B8" s="37"/>
      <c r="C8" s="32" t="s">
        <v>63</v>
      </c>
      <c r="D8" s="2"/>
      <c r="E8" s="50" t="s">
        <v>59</v>
      </c>
      <c r="F8" s="50" t="s">
        <v>59</v>
      </c>
      <c r="G8" s="50" t="s">
        <v>59</v>
      </c>
      <c r="H8" s="2"/>
      <c r="I8" s="50" t="s">
        <v>59</v>
      </c>
      <c r="J8" s="50" t="s">
        <v>59</v>
      </c>
      <c r="K8" s="50" t="s">
        <v>59</v>
      </c>
      <c r="L8" s="50" t="s">
        <v>59</v>
      </c>
      <c r="M8" s="50" t="s">
        <v>59</v>
      </c>
      <c r="N8" s="50" t="s">
        <v>59</v>
      </c>
      <c r="O8" s="50" t="s">
        <v>59</v>
      </c>
      <c r="P8" s="2"/>
      <c r="Q8" s="50" t="s">
        <v>59</v>
      </c>
      <c r="R8" s="50" t="s">
        <v>59</v>
      </c>
      <c r="S8" s="50" t="s">
        <v>59</v>
      </c>
      <c r="T8" s="50" t="s">
        <v>59</v>
      </c>
      <c r="U8" s="2"/>
      <c r="V8" s="2"/>
      <c r="W8" s="50" t="s">
        <v>59</v>
      </c>
      <c r="X8" s="50" t="s">
        <v>59</v>
      </c>
      <c r="Y8" s="50" t="s">
        <v>59</v>
      </c>
      <c r="Z8" s="50" t="s">
        <v>59</v>
      </c>
      <c r="AA8" s="50" t="s">
        <v>59</v>
      </c>
      <c r="AB8" s="50" t="s">
        <v>59</v>
      </c>
      <c r="AC8" s="2"/>
      <c r="AD8" s="2"/>
      <c r="AE8" s="50" t="s">
        <v>59</v>
      </c>
      <c r="AF8" s="50" t="s">
        <v>59</v>
      </c>
      <c r="AG8" s="50" t="s">
        <v>59</v>
      </c>
      <c r="AH8" s="50" t="s">
        <v>59</v>
      </c>
      <c r="AJ8" s="42" t="s">
        <v>44</v>
      </c>
      <c r="AK8" s="31">
        <v>8</v>
      </c>
      <c r="AL8">
        <f>31-7</f>
        <v>24</v>
      </c>
      <c r="AM8">
        <f>AL8*700</f>
        <v>16800</v>
      </c>
    </row>
    <row r="9" spans="2:39" s="8" customFormat="1" ht="8.1" customHeight="1" x14ac:dyDescent="0.25">
      <c r="B9" s="22" t="s">
        <v>15</v>
      </c>
      <c r="C9" s="22"/>
      <c r="D9" s="106"/>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8"/>
      <c r="AJ9" s="28"/>
      <c r="AK9" s="58"/>
    </row>
    <row r="10" spans="2:39" x14ac:dyDescent="0.25">
      <c r="B10" s="19"/>
      <c r="C10" s="20" t="s">
        <v>26</v>
      </c>
      <c r="D10" s="12">
        <v>10</v>
      </c>
      <c r="E10" s="12">
        <v>10</v>
      </c>
      <c r="F10" s="2"/>
      <c r="G10" s="2"/>
      <c r="H10" s="12">
        <v>10</v>
      </c>
      <c r="I10" s="12">
        <v>10</v>
      </c>
      <c r="J10" s="12">
        <v>10</v>
      </c>
      <c r="K10" s="12">
        <v>10</v>
      </c>
      <c r="L10" s="12">
        <v>10</v>
      </c>
      <c r="M10" s="12">
        <v>10</v>
      </c>
      <c r="N10" s="2"/>
      <c r="O10" s="12">
        <v>10</v>
      </c>
      <c r="P10" s="12">
        <v>10</v>
      </c>
      <c r="Q10" s="12">
        <v>10</v>
      </c>
      <c r="R10" s="12">
        <v>10</v>
      </c>
      <c r="S10" s="2"/>
      <c r="T10" s="2"/>
      <c r="U10" s="12">
        <v>10</v>
      </c>
      <c r="V10" s="12">
        <v>10</v>
      </c>
      <c r="W10" s="12">
        <v>10</v>
      </c>
      <c r="X10" s="12">
        <v>10</v>
      </c>
      <c r="Y10" s="12">
        <v>10</v>
      </c>
      <c r="Z10" s="12">
        <v>10</v>
      </c>
      <c r="AA10" s="2"/>
      <c r="AB10" s="12">
        <v>10</v>
      </c>
      <c r="AC10" s="12">
        <v>10</v>
      </c>
      <c r="AD10" s="12">
        <v>10</v>
      </c>
      <c r="AE10" s="12">
        <v>10</v>
      </c>
      <c r="AF10" s="12">
        <v>10</v>
      </c>
      <c r="AG10" s="12">
        <v>10</v>
      </c>
      <c r="AH10" s="49"/>
      <c r="AJ10" s="44" t="s">
        <v>47</v>
      </c>
      <c r="AK10" s="30">
        <v>7</v>
      </c>
    </row>
    <row r="11" spans="2:39" x14ac:dyDescent="0.25">
      <c r="B11" s="19"/>
      <c r="C11" s="20" t="s">
        <v>88</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5">
        <v>9</v>
      </c>
      <c r="AG11" s="5">
        <v>9</v>
      </c>
      <c r="AH11" s="5">
        <v>9</v>
      </c>
      <c r="AJ11" s="44"/>
      <c r="AK11" s="30"/>
    </row>
    <row r="12" spans="2:39" s="8" customFormat="1" ht="8.1" customHeight="1" x14ac:dyDescent="0.25">
      <c r="B12" s="93" t="s">
        <v>12</v>
      </c>
      <c r="C12" s="93"/>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J12" s="28"/>
      <c r="AK12" s="58"/>
    </row>
    <row r="13" spans="2:39" x14ac:dyDescent="0.25">
      <c r="B13" s="19"/>
      <c r="C13" s="20" t="s">
        <v>19</v>
      </c>
      <c r="D13" s="10">
        <v>7</v>
      </c>
      <c r="E13" s="10">
        <v>7</v>
      </c>
      <c r="F13" s="10">
        <v>7</v>
      </c>
      <c r="G13" s="10">
        <v>7</v>
      </c>
      <c r="H13" s="10">
        <v>7</v>
      </c>
      <c r="I13" s="2"/>
      <c r="J13" s="5">
        <v>9</v>
      </c>
      <c r="K13" s="5">
        <v>9</v>
      </c>
      <c r="L13" s="5">
        <v>9</v>
      </c>
      <c r="M13" s="10">
        <v>7</v>
      </c>
      <c r="N13" s="10">
        <v>7</v>
      </c>
      <c r="O13" s="10">
        <v>7</v>
      </c>
      <c r="P13" s="10">
        <v>7</v>
      </c>
      <c r="Q13" s="2"/>
      <c r="R13" s="2"/>
      <c r="S13" s="10">
        <v>7</v>
      </c>
      <c r="T13" s="10">
        <v>7</v>
      </c>
      <c r="U13" s="10">
        <v>7</v>
      </c>
      <c r="V13" s="10">
        <v>7</v>
      </c>
      <c r="W13" s="2"/>
      <c r="X13" s="2"/>
      <c r="Y13" s="10">
        <v>7</v>
      </c>
      <c r="Z13" s="10">
        <v>7</v>
      </c>
      <c r="AA13" s="10">
        <v>7</v>
      </c>
      <c r="AB13" s="10">
        <v>7</v>
      </c>
      <c r="AC13" s="10">
        <v>7</v>
      </c>
      <c r="AD13" s="10">
        <v>7</v>
      </c>
      <c r="AE13" s="2"/>
      <c r="AF13" s="10">
        <v>7</v>
      </c>
      <c r="AG13" s="10">
        <v>7</v>
      </c>
      <c r="AH13" s="10">
        <v>7</v>
      </c>
      <c r="AJ13" s="40" t="s">
        <v>45</v>
      </c>
      <c r="AK13" s="57">
        <v>6</v>
      </c>
    </row>
    <row r="14" spans="2:39" x14ac:dyDescent="0.25">
      <c r="B14" s="19"/>
      <c r="C14" s="20" t="s">
        <v>20</v>
      </c>
      <c r="D14" s="10">
        <v>7</v>
      </c>
      <c r="E14" s="10">
        <v>7</v>
      </c>
      <c r="F14" s="10">
        <v>7</v>
      </c>
      <c r="G14" s="2"/>
      <c r="H14" s="10">
        <v>7</v>
      </c>
      <c r="I14" s="10">
        <v>7</v>
      </c>
      <c r="J14" s="10">
        <v>7</v>
      </c>
      <c r="K14" s="10">
        <v>7</v>
      </c>
      <c r="L14" s="10">
        <v>7</v>
      </c>
      <c r="M14" s="10">
        <v>7</v>
      </c>
      <c r="N14" s="10">
        <v>7</v>
      </c>
      <c r="O14" s="10">
        <v>7</v>
      </c>
      <c r="P14" s="2"/>
      <c r="Q14" s="10">
        <v>7</v>
      </c>
      <c r="R14" s="10">
        <v>7</v>
      </c>
      <c r="S14" s="10">
        <v>7</v>
      </c>
      <c r="T14" s="10">
        <v>7</v>
      </c>
      <c r="U14" s="2"/>
      <c r="V14" s="2"/>
      <c r="W14" s="10">
        <v>7</v>
      </c>
      <c r="X14" s="10">
        <v>7</v>
      </c>
      <c r="Y14" s="10">
        <v>7</v>
      </c>
      <c r="Z14" s="10">
        <v>7</v>
      </c>
      <c r="AA14" s="10">
        <v>7</v>
      </c>
      <c r="AB14" s="2"/>
      <c r="AC14" s="2"/>
      <c r="AD14" s="10">
        <v>7</v>
      </c>
      <c r="AE14" s="10">
        <v>7</v>
      </c>
      <c r="AF14" s="10">
        <v>7</v>
      </c>
      <c r="AG14" s="10">
        <v>7</v>
      </c>
      <c r="AH14" s="10">
        <v>7</v>
      </c>
      <c r="AJ14" s="39" t="s">
        <v>43</v>
      </c>
      <c r="AK14" s="30"/>
    </row>
    <row r="15" spans="2:39" x14ac:dyDescent="0.25">
      <c r="B15" s="19"/>
      <c r="C15" s="20" t="s">
        <v>66</v>
      </c>
      <c r="D15" s="3"/>
      <c r="E15" s="3"/>
      <c r="F15" s="3"/>
      <c r="G15" s="47" t="s">
        <v>58</v>
      </c>
      <c r="H15" s="47" t="s">
        <v>58</v>
      </c>
      <c r="I15" s="47" t="s">
        <v>58</v>
      </c>
      <c r="J15" s="47" t="s">
        <v>58</v>
      </c>
      <c r="K15" s="47" t="s">
        <v>58</v>
      </c>
      <c r="L15" s="47" t="s">
        <v>58</v>
      </c>
      <c r="M15" s="47" t="s">
        <v>58</v>
      </c>
      <c r="N15" s="47" t="s">
        <v>58</v>
      </c>
      <c r="O15" s="47" t="s">
        <v>58</v>
      </c>
      <c r="P15" s="47" t="s">
        <v>58</v>
      </c>
      <c r="Q15" s="47" t="s">
        <v>58</v>
      </c>
      <c r="R15" s="47" t="s">
        <v>58</v>
      </c>
      <c r="S15" s="2"/>
      <c r="T15" s="2"/>
      <c r="U15" s="47" t="s">
        <v>58</v>
      </c>
      <c r="V15" s="47" t="s">
        <v>58</v>
      </c>
      <c r="W15" s="47" t="s">
        <v>58</v>
      </c>
      <c r="X15" s="47" t="s">
        <v>58</v>
      </c>
      <c r="Y15" s="47" t="s">
        <v>58</v>
      </c>
      <c r="Z15" s="47" t="s">
        <v>58</v>
      </c>
      <c r="AA15" s="47" t="s">
        <v>58</v>
      </c>
      <c r="AB15" s="47" t="s">
        <v>58</v>
      </c>
      <c r="AC15" s="47" t="s">
        <v>58</v>
      </c>
      <c r="AD15" s="3"/>
      <c r="AE15" s="3"/>
      <c r="AF15" s="3"/>
      <c r="AG15" s="3"/>
      <c r="AH15" s="3"/>
      <c r="AK15" s="30"/>
      <c r="AL15">
        <v>21</v>
      </c>
      <c r="AM15">
        <f>AL15*700</f>
        <v>14700</v>
      </c>
    </row>
    <row r="16" spans="2:39" s="8" customFormat="1" ht="8.1" customHeight="1" x14ac:dyDescent="0.25">
      <c r="B16" s="93" t="s">
        <v>13</v>
      </c>
      <c r="C16" s="93"/>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J16" s="28"/>
      <c r="AK16" s="58"/>
    </row>
    <row r="17" spans="2:39" ht="16.5" customHeight="1" x14ac:dyDescent="0.25">
      <c r="B17" s="19"/>
      <c r="C17" s="20" t="s">
        <v>21</v>
      </c>
      <c r="D17" s="9">
        <v>9</v>
      </c>
      <c r="E17" s="9">
        <v>9</v>
      </c>
      <c r="F17" s="9">
        <v>9</v>
      </c>
      <c r="G17" s="2"/>
      <c r="H17" s="9">
        <v>9</v>
      </c>
      <c r="I17" s="9">
        <v>9</v>
      </c>
      <c r="J17" s="9">
        <v>9</v>
      </c>
      <c r="K17" s="9">
        <v>9</v>
      </c>
      <c r="L17" s="9">
        <v>9</v>
      </c>
      <c r="M17" s="9">
        <v>9</v>
      </c>
      <c r="N17" s="9">
        <v>9</v>
      </c>
      <c r="O17" s="9">
        <v>9</v>
      </c>
      <c r="P17" s="2"/>
      <c r="Q17" s="9">
        <v>9</v>
      </c>
      <c r="R17" s="6">
        <v>8.3000000000000007</v>
      </c>
      <c r="S17" s="9">
        <v>9</v>
      </c>
      <c r="T17" s="9">
        <v>9</v>
      </c>
      <c r="U17" s="2"/>
      <c r="V17" s="2"/>
      <c r="W17" s="9">
        <v>9</v>
      </c>
      <c r="X17" s="9">
        <v>9</v>
      </c>
      <c r="Y17" s="9">
        <v>9</v>
      </c>
      <c r="Z17" s="9">
        <v>9</v>
      </c>
      <c r="AA17" s="9">
        <v>9</v>
      </c>
      <c r="AB17" s="2"/>
      <c r="AC17" s="2"/>
      <c r="AD17" s="9">
        <v>9</v>
      </c>
      <c r="AE17" s="9">
        <v>9</v>
      </c>
      <c r="AF17" s="9">
        <v>9</v>
      </c>
      <c r="AG17" s="9">
        <v>9</v>
      </c>
      <c r="AH17" s="9">
        <v>9</v>
      </c>
      <c r="AJ17" s="45" t="s">
        <v>46</v>
      </c>
      <c r="AK17" s="59">
        <v>6</v>
      </c>
    </row>
    <row r="18" spans="2:39" x14ac:dyDescent="0.25">
      <c r="B18" s="19"/>
      <c r="C18" s="20" t="s">
        <v>22</v>
      </c>
      <c r="D18" s="10">
        <v>7</v>
      </c>
      <c r="E18" s="2"/>
      <c r="F18" s="10">
        <v>7</v>
      </c>
      <c r="G18" s="10">
        <v>7</v>
      </c>
      <c r="H18" s="10">
        <v>7</v>
      </c>
      <c r="I18" s="10">
        <v>7</v>
      </c>
      <c r="J18" s="2"/>
      <c r="K18" s="10">
        <v>7</v>
      </c>
      <c r="L18" s="10">
        <v>7</v>
      </c>
      <c r="M18" s="10">
        <v>7</v>
      </c>
      <c r="N18" s="10">
        <v>7</v>
      </c>
      <c r="O18" s="10">
        <v>7</v>
      </c>
      <c r="P18" s="54" t="s">
        <v>29</v>
      </c>
      <c r="Q18" s="54" t="s">
        <v>29</v>
      </c>
      <c r="R18" s="2"/>
      <c r="S18" s="10">
        <v>7</v>
      </c>
      <c r="T18" s="10">
        <v>7</v>
      </c>
      <c r="U18" s="54" t="s">
        <v>29</v>
      </c>
      <c r="V18" s="54" t="s">
        <v>29</v>
      </c>
      <c r="W18" s="10">
        <v>7</v>
      </c>
      <c r="X18" s="10">
        <v>7</v>
      </c>
      <c r="Y18" s="10">
        <v>7</v>
      </c>
      <c r="Z18" s="2"/>
      <c r="AA18" s="2"/>
      <c r="AB18" s="54" t="s">
        <v>29</v>
      </c>
      <c r="AC18" s="54" t="s">
        <v>29</v>
      </c>
      <c r="AD18" s="10">
        <v>7</v>
      </c>
      <c r="AE18" s="10">
        <v>7</v>
      </c>
      <c r="AF18" s="2"/>
      <c r="AG18" s="2"/>
      <c r="AH18" s="10">
        <v>7</v>
      </c>
      <c r="AJ18" s="43" t="s">
        <v>48</v>
      </c>
      <c r="AK18">
        <v>6</v>
      </c>
    </row>
    <row r="19" spans="2:39" x14ac:dyDescent="0.25">
      <c r="B19" s="19"/>
      <c r="C19" s="32" t="s">
        <v>70</v>
      </c>
      <c r="D19" s="56"/>
      <c r="E19" s="56"/>
      <c r="F19" s="56"/>
      <c r="G19" s="56"/>
      <c r="H19" s="56"/>
      <c r="I19" s="56"/>
      <c r="J19" s="52" t="s">
        <v>64</v>
      </c>
      <c r="K19" s="52" t="s">
        <v>64</v>
      </c>
      <c r="L19" s="52" t="s">
        <v>64</v>
      </c>
      <c r="M19" s="52" t="s">
        <v>64</v>
      </c>
      <c r="N19" s="52" t="s">
        <v>64</v>
      </c>
      <c r="O19" s="52" t="s">
        <v>64</v>
      </c>
      <c r="P19" s="52" t="s">
        <v>64</v>
      </c>
      <c r="Q19" s="2"/>
      <c r="R19" s="52" t="s">
        <v>64</v>
      </c>
      <c r="S19" s="52" t="s">
        <v>64</v>
      </c>
      <c r="T19" s="52" t="s">
        <v>64</v>
      </c>
      <c r="U19" s="52" t="s">
        <v>64</v>
      </c>
      <c r="V19" s="52" t="s">
        <v>64</v>
      </c>
      <c r="W19" s="52" t="s">
        <v>64</v>
      </c>
      <c r="X19" s="52" t="s">
        <v>64</v>
      </c>
      <c r="Y19" s="2"/>
      <c r="Z19" s="52" t="s">
        <v>64</v>
      </c>
      <c r="AA19" s="52" t="s">
        <v>64</v>
      </c>
      <c r="AB19" s="52" t="s">
        <v>64</v>
      </c>
      <c r="AC19" s="52" t="s">
        <v>64</v>
      </c>
      <c r="AD19" s="52" t="s">
        <v>64</v>
      </c>
      <c r="AE19" s="52" t="s">
        <v>64</v>
      </c>
      <c r="AF19" s="52" t="s">
        <v>64</v>
      </c>
      <c r="AG19" s="52" t="s">
        <v>64</v>
      </c>
      <c r="AH19" s="2"/>
      <c r="AL19">
        <v>21</v>
      </c>
      <c r="AM19">
        <f>AL19*700</f>
        <v>14700</v>
      </c>
    </row>
    <row r="20" spans="2:39" x14ac:dyDescent="0.25">
      <c r="B20" s="19"/>
      <c r="C20" s="32" t="s">
        <v>71</v>
      </c>
      <c r="D20" s="56"/>
      <c r="E20" s="56"/>
      <c r="F20" s="56"/>
      <c r="G20" s="56"/>
      <c r="H20" s="56"/>
      <c r="I20" s="56"/>
      <c r="J20" s="3"/>
      <c r="K20" s="3"/>
      <c r="L20" s="3"/>
      <c r="M20" s="3"/>
      <c r="N20" s="3"/>
      <c r="O20" s="3"/>
      <c r="P20" s="47" t="s">
        <v>58</v>
      </c>
      <c r="Q20" s="47" t="s">
        <v>58</v>
      </c>
      <c r="R20" s="47" t="s">
        <v>58</v>
      </c>
      <c r="S20" s="47" t="s">
        <v>58</v>
      </c>
      <c r="T20" s="47" t="s">
        <v>58</v>
      </c>
      <c r="U20" s="47" t="s">
        <v>58</v>
      </c>
      <c r="V20" s="47" t="s">
        <v>58</v>
      </c>
      <c r="W20" s="2"/>
      <c r="X20" s="47" t="s">
        <v>58</v>
      </c>
      <c r="Y20" s="47" t="s">
        <v>58</v>
      </c>
      <c r="Z20" s="47" t="s">
        <v>58</v>
      </c>
      <c r="AA20" s="47" t="s">
        <v>58</v>
      </c>
      <c r="AB20" s="47" t="s">
        <v>58</v>
      </c>
      <c r="AC20" s="47" t="s">
        <v>58</v>
      </c>
      <c r="AD20" s="2"/>
      <c r="AE20" s="47" t="s">
        <v>58</v>
      </c>
      <c r="AF20" s="47" t="s">
        <v>58</v>
      </c>
      <c r="AG20" s="47" t="s">
        <v>58</v>
      </c>
      <c r="AH20" s="47" t="s">
        <v>58</v>
      </c>
      <c r="AL20">
        <v>17</v>
      </c>
      <c r="AM20">
        <f>AL20*700</f>
        <v>11900</v>
      </c>
    </row>
    <row r="21" spans="2:39" x14ac:dyDescent="0.25">
      <c r="B21" s="19"/>
      <c r="C21" s="32" t="s">
        <v>67</v>
      </c>
      <c r="D21" s="3"/>
      <c r="E21" s="3"/>
      <c r="F21" s="3"/>
      <c r="G21" s="3"/>
      <c r="H21" s="3"/>
      <c r="I21" s="3"/>
      <c r="J21" s="3"/>
      <c r="K21" s="3"/>
      <c r="L21" s="3"/>
      <c r="M21" s="3"/>
      <c r="N21" s="3"/>
      <c r="O21" s="3"/>
      <c r="P21" s="3"/>
      <c r="Q21" s="3"/>
      <c r="R21" s="3"/>
      <c r="S21" s="3"/>
      <c r="T21" s="3"/>
      <c r="U21" s="3"/>
      <c r="V21" s="3"/>
      <c r="W21" s="47" t="s">
        <v>58</v>
      </c>
      <c r="X21" s="47" t="s">
        <v>58</v>
      </c>
      <c r="Y21" s="52" t="s">
        <v>64</v>
      </c>
      <c r="Z21" s="47" t="s">
        <v>58</v>
      </c>
      <c r="AA21" s="47" t="s">
        <v>58</v>
      </c>
      <c r="AB21" s="52" t="s">
        <v>64</v>
      </c>
      <c r="AC21" s="52" t="s">
        <v>64</v>
      </c>
      <c r="AD21" s="47" t="s">
        <v>58</v>
      </c>
      <c r="AE21" s="2"/>
      <c r="AF21" s="47" t="s">
        <v>58</v>
      </c>
      <c r="AG21" s="47" t="s">
        <v>58</v>
      </c>
      <c r="AH21" s="52" t="s">
        <v>64</v>
      </c>
      <c r="AJ21" s="41" t="s">
        <v>51</v>
      </c>
      <c r="AL21">
        <v>11</v>
      </c>
      <c r="AM21">
        <f>AL21*700</f>
        <v>7700</v>
      </c>
    </row>
    <row r="22" spans="2:39" ht="9" customHeight="1" x14ac:dyDescent="0.25">
      <c r="B22" s="89" t="s">
        <v>14</v>
      </c>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1"/>
      <c r="AJ22" s="28"/>
      <c r="AK22" s="31"/>
    </row>
    <row r="23" spans="2:39" s="8" customFormat="1" ht="15.95" customHeight="1" x14ac:dyDescent="0.25">
      <c r="B23" s="19"/>
      <c r="C23" s="20" t="s">
        <v>24</v>
      </c>
      <c r="D23" s="17">
        <v>11</v>
      </c>
      <c r="E23" s="17">
        <v>11</v>
      </c>
      <c r="F23" s="17">
        <v>11</v>
      </c>
      <c r="G23" s="17">
        <v>11</v>
      </c>
      <c r="H23" s="17">
        <v>11</v>
      </c>
      <c r="I23" s="2"/>
      <c r="J23" s="13">
        <v>12</v>
      </c>
      <c r="K23" s="13">
        <v>12</v>
      </c>
      <c r="L23" s="13">
        <v>12</v>
      </c>
      <c r="M23" s="13">
        <v>12</v>
      </c>
      <c r="N23" s="13">
        <v>12</v>
      </c>
      <c r="O23" s="13">
        <v>12</v>
      </c>
      <c r="P23" s="13">
        <v>12</v>
      </c>
      <c r="Q23" s="2"/>
      <c r="R23" s="54" t="s">
        <v>29</v>
      </c>
      <c r="S23" s="10">
        <v>7</v>
      </c>
      <c r="T23" s="13">
        <v>12</v>
      </c>
      <c r="U23" s="13">
        <v>12</v>
      </c>
      <c r="V23" s="2"/>
      <c r="W23" s="13">
        <v>12</v>
      </c>
      <c r="X23" s="13">
        <v>12</v>
      </c>
      <c r="Y23" s="13">
        <v>12</v>
      </c>
      <c r="Z23" s="2"/>
      <c r="AA23" s="53" t="s">
        <v>28</v>
      </c>
      <c r="AB23" s="53" t="s">
        <v>28</v>
      </c>
      <c r="AC23" s="53" t="s">
        <v>28</v>
      </c>
      <c r="AD23" s="2"/>
      <c r="AE23" s="2"/>
      <c r="AF23" s="53" t="s">
        <v>28</v>
      </c>
      <c r="AG23" s="53" t="s">
        <v>28</v>
      </c>
      <c r="AH23" s="53" t="s">
        <v>28</v>
      </c>
      <c r="AJ23" s="40" t="s">
        <v>45</v>
      </c>
      <c r="AK23" s="31">
        <v>6</v>
      </c>
      <c r="AM23" s="8">
        <f>SUM(AM8:AM22)</f>
        <v>65800</v>
      </c>
    </row>
    <row r="24" spans="2:39" x14ac:dyDescent="0.25">
      <c r="B24" s="26"/>
      <c r="C24" s="27" t="s">
        <v>25</v>
      </c>
      <c r="D24" s="5">
        <v>9</v>
      </c>
      <c r="E24" s="2"/>
      <c r="F24" s="5">
        <v>9</v>
      </c>
      <c r="G24" s="5">
        <v>9</v>
      </c>
      <c r="H24" s="5">
        <v>9</v>
      </c>
      <c r="I24" s="17">
        <v>11</v>
      </c>
      <c r="J24" s="13">
        <v>12</v>
      </c>
      <c r="K24" s="9">
        <v>9</v>
      </c>
      <c r="L24" s="9">
        <v>9</v>
      </c>
      <c r="M24" s="13">
        <v>12</v>
      </c>
      <c r="N24" s="13">
        <v>12</v>
      </c>
      <c r="O24" s="2"/>
      <c r="P24" s="2"/>
      <c r="Q24" s="54" t="s">
        <v>29</v>
      </c>
      <c r="R24" s="13">
        <v>12</v>
      </c>
      <c r="S24" s="13">
        <v>12</v>
      </c>
      <c r="T24" s="2"/>
      <c r="U24" s="9">
        <v>9</v>
      </c>
      <c r="V24" s="13">
        <v>12</v>
      </c>
      <c r="W24" s="13">
        <v>12</v>
      </c>
      <c r="X24" s="2"/>
      <c r="Y24" s="2"/>
      <c r="Z24" s="13">
        <v>12</v>
      </c>
      <c r="AA24" s="13">
        <v>12</v>
      </c>
      <c r="AB24" s="13">
        <v>12</v>
      </c>
      <c r="AC24" s="13">
        <v>12</v>
      </c>
      <c r="AD24" s="13">
        <v>12</v>
      </c>
      <c r="AE24" s="13">
        <v>12</v>
      </c>
      <c r="AF24" s="13">
        <v>12</v>
      </c>
      <c r="AG24" s="13">
        <v>12</v>
      </c>
      <c r="AH24" s="2"/>
      <c r="AJ24" s="44" t="s">
        <v>47</v>
      </c>
      <c r="AK24" s="31">
        <v>7</v>
      </c>
    </row>
    <row r="25" spans="2:39" x14ac:dyDescent="0.25">
      <c r="B25" s="19"/>
      <c r="C25" s="20" t="s">
        <v>18</v>
      </c>
      <c r="D25" s="2"/>
      <c r="E25" s="5">
        <v>9</v>
      </c>
      <c r="F25" s="5">
        <v>9</v>
      </c>
      <c r="G25" s="5">
        <v>9</v>
      </c>
      <c r="H25" s="5">
        <v>9</v>
      </c>
      <c r="I25" s="2"/>
      <c r="J25" s="5">
        <v>9</v>
      </c>
      <c r="K25" s="10">
        <v>7</v>
      </c>
      <c r="L25" s="10">
        <v>7</v>
      </c>
      <c r="M25" s="54" t="s">
        <v>29</v>
      </c>
      <c r="N25" s="54" t="s">
        <v>29</v>
      </c>
      <c r="O25" s="54" t="s">
        <v>29</v>
      </c>
      <c r="P25" s="54" t="s">
        <v>29</v>
      </c>
      <c r="Q25" s="13">
        <v>12</v>
      </c>
      <c r="R25" s="2"/>
      <c r="S25" s="54" t="s">
        <v>29</v>
      </c>
      <c r="T25" s="54" t="s">
        <v>29</v>
      </c>
      <c r="U25" s="2"/>
      <c r="V25" s="2"/>
      <c r="W25" s="2"/>
      <c r="X25" s="9">
        <v>9</v>
      </c>
      <c r="Y25" s="54" t="s">
        <v>29</v>
      </c>
      <c r="Z25" s="9">
        <v>9</v>
      </c>
      <c r="AA25" s="9">
        <v>9</v>
      </c>
      <c r="AB25" s="9">
        <v>9</v>
      </c>
      <c r="AC25" s="9">
        <v>9</v>
      </c>
      <c r="AD25" s="9">
        <v>9</v>
      </c>
      <c r="AE25" s="2"/>
      <c r="AF25" s="54" t="s">
        <v>29</v>
      </c>
      <c r="AG25" s="9">
        <v>9</v>
      </c>
      <c r="AH25" s="13">
        <v>12</v>
      </c>
      <c r="AJ25" s="42" t="s">
        <v>44</v>
      </c>
      <c r="AK25" s="4">
        <v>7</v>
      </c>
    </row>
    <row r="26" spans="2:39" x14ac:dyDescent="0.25">
      <c r="B26" s="19"/>
      <c r="C26" s="20" t="s">
        <v>23</v>
      </c>
      <c r="D26" s="2"/>
      <c r="E26" s="2"/>
      <c r="F26" s="5">
        <v>9</v>
      </c>
      <c r="G26" s="5">
        <v>9</v>
      </c>
      <c r="H26" s="5">
        <v>9</v>
      </c>
      <c r="I26" s="5">
        <v>9</v>
      </c>
      <c r="J26" s="2"/>
      <c r="K26" s="10">
        <v>7</v>
      </c>
      <c r="L26" s="10">
        <v>7</v>
      </c>
      <c r="M26" s="10">
        <v>7</v>
      </c>
      <c r="N26" s="10">
        <v>7</v>
      </c>
      <c r="O26" s="10">
        <v>7</v>
      </c>
      <c r="P26" s="10">
        <v>7</v>
      </c>
      <c r="Q26" s="10">
        <v>7</v>
      </c>
      <c r="R26" s="10">
        <v>7</v>
      </c>
      <c r="S26" s="2"/>
      <c r="T26" s="10">
        <v>7</v>
      </c>
      <c r="U26" s="10">
        <v>7</v>
      </c>
      <c r="V26" s="54" t="s">
        <v>29</v>
      </c>
      <c r="W26" s="10">
        <v>7</v>
      </c>
      <c r="X26" s="10">
        <v>7</v>
      </c>
      <c r="Y26" s="2"/>
      <c r="Z26" s="10">
        <v>7</v>
      </c>
      <c r="AA26" s="10">
        <v>7</v>
      </c>
      <c r="AB26" s="10">
        <v>7</v>
      </c>
      <c r="AC26" s="10">
        <v>7</v>
      </c>
      <c r="AD26" s="10">
        <v>7</v>
      </c>
      <c r="AE26" s="54" t="s">
        <v>29</v>
      </c>
      <c r="AF26" s="2"/>
      <c r="AG26" s="10">
        <v>7</v>
      </c>
      <c r="AH26" s="54" t="s">
        <v>29</v>
      </c>
      <c r="AJ26" s="43" t="s">
        <v>48</v>
      </c>
      <c r="AK26" s="30">
        <v>7</v>
      </c>
    </row>
    <row r="27" spans="2:39" ht="9" customHeight="1" x14ac:dyDescent="0.25">
      <c r="N27"/>
      <c r="AJ27" s="28"/>
    </row>
    <row r="28" spans="2:39" x14ac:dyDescent="0.25">
      <c r="B28" s="81" t="s">
        <v>54</v>
      </c>
      <c r="C28" s="81"/>
      <c r="J28" s="55">
        <v>5</v>
      </c>
      <c r="K28" s="55">
        <v>5</v>
      </c>
      <c r="L28" s="55">
        <v>15</v>
      </c>
      <c r="M28" s="55">
        <v>18</v>
      </c>
      <c r="N28" s="55">
        <v>9</v>
      </c>
      <c r="O28" s="55">
        <v>5</v>
      </c>
      <c r="P28" s="55">
        <v>5</v>
      </c>
      <c r="Q28" s="55">
        <v>6</v>
      </c>
      <c r="R28" s="55">
        <v>6</v>
      </c>
      <c r="S28" s="55">
        <v>6</v>
      </c>
      <c r="T28" s="1">
        <v>3</v>
      </c>
      <c r="U28" s="1">
        <v>2</v>
      </c>
      <c r="V28" s="1">
        <v>1</v>
      </c>
      <c r="W28" s="1">
        <v>1</v>
      </c>
      <c r="X28" s="1">
        <v>2</v>
      </c>
      <c r="Y28" s="1">
        <v>2</v>
      </c>
      <c r="Z28" s="1">
        <v>3</v>
      </c>
      <c r="AA28" s="55">
        <v>4</v>
      </c>
      <c r="AB28" s="55">
        <v>3</v>
      </c>
      <c r="AC28" s="55">
        <v>3</v>
      </c>
      <c r="AD28" s="55">
        <v>4</v>
      </c>
      <c r="AE28" s="55">
        <v>5</v>
      </c>
      <c r="AF28" s="55">
        <v>4</v>
      </c>
      <c r="AG28" s="55">
        <v>10</v>
      </c>
      <c r="AH28" s="55">
        <v>8</v>
      </c>
    </row>
    <row r="29" spans="2:39" x14ac:dyDescent="0.25">
      <c r="B29" s="81" t="s">
        <v>30</v>
      </c>
      <c r="C29" s="81"/>
      <c r="D29" s="1">
        <v>13</v>
      </c>
      <c r="E29" s="1">
        <v>13</v>
      </c>
      <c r="F29" s="1">
        <v>13</v>
      </c>
      <c r="G29" s="1">
        <v>13</v>
      </c>
      <c r="H29" s="1">
        <v>13</v>
      </c>
      <c r="I29" s="1">
        <v>13</v>
      </c>
      <c r="J29" s="1">
        <v>14</v>
      </c>
      <c r="K29" s="1">
        <v>14</v>
      </c>
      <c r="L29" s="1">
        <v>14</v>
      </c>
      <c r="M29" s="1">
        <v>14</v>
      </c>
      <c r="N29" s="1">
        <v>14</v>
      </c>
      <c r="O29" s="1">
        <v>14</v>
      </c>
      <c r="P29" s="1">
        <v>15</v>
      </c>
      <c r="Q29" s="1">
        <v>15</v>
      </c>
      <c r="R29" s="1">
        <v>15</v>
      </c>
      <c r="S29" s="1">
        <v>15</v>
      </c>
      <c r="T29" s="1">
        <v>15</v>
      </c>
      <c r="U29" s="1">
        <v>15</v>
      </c>
      <c r="V29" s="1">
        <v>15</v>
      </c>
      <c r="W29" s="1">
        <v>16</v>
      </c>
      <c r="X29" s="1">
        <v>16</v>
      </c>
      <c r="Y29" s="1">
        <v>16</v>
      </c>
      <c r="Z29" s="1">
        <v>16</v>
      </c>
      <c r="AA29" s="1">
        <v>16</v>
      </c>
      <c r="AB29" s="1">
        <v>16</v>
      </c>
      <c r="AC29" s="1">
        <v>16</v>
      </c>
      <c r="AD29" s="1">
        <v>15</v>
      </c>
      <c r="AE29" s="1">
        <v>15</v>
      </c>
      <c r="AF29" s="1">
        <v>15</v>
      </c>
      <c r="AG29" s="1">
        <v>15</v>
      </c>
      <c r="AH29" s="1">
        <v>15</v>
      </c>
    </row>
    <row r="30" spans="2:39" x14ac:dyDescent="0.25">
      <c r="B30" s="81" t="s">
        <v>31</v>
      </c>
      <c r="C30" s="81"/>
      <c r="D30" s="1">
        <v>5</v>
      </c>
      <c r="E30" s="1">
        <v>4</v>
      </c>
      <c r="F30" s="1">
        <v>2</v>
      </c>
      <c r="G30" s="1">
        <v>3</v>
      </c>
      <c r="H30" s="1">
        <v>2</v>
      </c>
      <c r="I30" s="1">
        <v>3</v>
      </c>
      <c r="J30" s="1">
        <v>2</v>
      </c>
      <c r="K30" s="1">
        <v>0</v>
      </c>
      <c r="L30" s="1">
        <v>0</v>
      </c>
      <c r="M30" s="1">
        <v>0</v>
      </c>
      <c r="N30" s="1">
        <v>1</v>
      </c>
      <c r="O30" s="1">
        <v>1</v>
      </c>
      <c r="P30" s="1">
        <v>5</v>
      </c>
      <c r="Q30" s="1">
        <v>5</v>
      </c>
      <c r="R30" s="1">
        <v>5</v>
      </c>
      <c r="S30" s="1">
        <v>4</v>
      </c>
      <c r="T30" s="1">
        <v>3</v>
      </c>
      <c r="U30" s="1">
        <v>5</v>
      </c>
      <c r="V30" s="1">
        <v>5</v>
      </c>
      <c r="W30" s="1">
        <v>5</v>
      </c>
      <c r="X30" s="1">
        <v>3</v>
      </c>
      <c r="Y30" s="1">
        <v>2</v>
      </c>
      <c r="Z30" s="1">
        <v>2</v>
      </c>
      <c r="AA30" s="1">
        <v>2</v>
      </c>
      <c r="AB30" s="1">
        <v>2</v>
      </c>
      <c r="AC30" s="1">
        <v>4</v>
      </c>
      <c r="AD30" s="1">
        <v>2</v>
      </c>
      <c r="AE30" s="1">
        <v>4</v>
      </c>
      <c r="AF30" s="1">
        <v>2</v>
      </c>
      <c r="AG30" s="1">
        <v>2</v>
      </c>
      <c r="AH30" s="1">
        <v>3</v>
      </c>
    </row>
    <row r="31" spans="2:39" x14ac:dyDescent="0.25">
      <c r="B31" s="81" t="s">
        <v>32</v>
      </c>
      <c r="C31" s="81"/>
      <c r="D31" s="1">
        <v>0</v>
      </c>
      <c r="E31" s="1">
        <v>1</v>
      </c>
      <c r="F31" s="1">
        <v>1</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1</v>
      </c>
      <c r="AB31" s="1">
        <v>1</v>
      </c>
      <c r="AC31" s="1">
        <v>1</v>
      </c>
      <c r="AD31" s="1">
        <v>0</v>
      </c>
      <c r="AE31" s="1">
        <v>0</v>
      </c>
      <c r="AF31" s="1">
        <v>1</v>
      </c>
      <c r="AG31" s="1">
        <v>1</v>
      </c>
      <c r="AH31" s="1">
        <v>1</v>
      </c>
    </row>
    <row r="32" spans="2:39" x14ac:dyDescent="0.25">
      <c r="B32" s="80" t="s">
        <v>33</v>
      </c>
      <c r="C32" s="80"/>
      <c r="D32" s="5">
        <f>D29-D30-D31</f>
        <v>8</v>
      </c>
      <c r="E32" s="5">
        <f>E29-E30-E31</f>
        <v>8</v>
      </c>
      <c r="F32" s="5">
        <f>F29-F30-F31</f>
        <v>10</v>
      </c>
      <c r="G32" s="5">
        <f>G29-G30-G31</f>
        <v>10</v>
      </c>
      <c r="H32" s="5">
        <f>H29-H30-H31</f>
        <v>11</v>
      </c>
      <c r="I32" s="5">
        <f t="shared" ref="I32:O32" si="0">I29-I30-I31</f>
        <v>10</v>
      </c>
      <c r="J32" s="5">
        <f t="shared" si="0"/>
        <v>12</v>
      </c>
      <c r="K32" s="5">
        <f t="shared" si="0"/>
        <v>14</v>
      </c>
      <c r="L32" s="5">
        <f t="shared" si="0"/>
        <v>14</v>
      </c>
      <c r="M32" s="5">
        <f t="shared" si="0"/>
        <v>14</v>
      </c>
      <c r="N32" s="5">
        <f t="shared" si="0"/>
        <v>13</v>
      </c>
      <c r="O32" s="5">
        <f t="shared" si="0"/>
        <v>13</v>
      </c>
      <c r="P32" s="5">
        <f>P29-P30-P31</f>
        <v>10</v>
      </c>
      <c r="Q32" s="5">
        <f t="shared" ref="Q32:AH32" si="1">Q29-Q30-Q31</f>
        <v>10</v>
      </c>
      <c r="R32" s="5">
        <f t="shared" si="1"/>
        <v>10</v>
      </c>
      <c r="S32" s="5">
        <f t="shared" si="1"/>
        <v>11</v>
      </c>
      <c r="T32" s="5">
        <f t="shared" si="1"/>
        <v>12</v>
      </c>
      <c r="U32" s="5">
        <f t="shared" si="1"/>
        <v>10</v>
      </c>
      <c r="V32" s="5">
        <f t="shared" si="1"/>
        <v>10</v>
      </c>
      <c r="W32" s="5">
        <f t="shared" si="1"/>
        <v>11</v>
      </c>
      <c r="X32" s="5">
        <f t="shared" si="1"/>
        <v>13</v>
      </c>
      <c r="Y32" s="5">
        <f t="shared" si="1"/>
        <v>14</v>
      </c>
      <c r="Z32" s="5">
        <f t="shared" si="1"/>
        <v>14</v>
      </c>
      <c r="AA32" s="5">
        <f t="shared" si="1"/>
        <v>13</v>
      </c>
      <c r="AB32" s="5">
        <f t="shared" si="1"/>
        <v>13</v>
      </c>
      <c r="AC32" s="5">
        <f t="shared" si="1"/>
        <v>11</v>
      </c>
      <c r="AD32" s="5">
        <f t="shared" si="1"/>
        <v>13</v>
      </c>
      <c r="AE32" s="5">
        <f t="shared" si="1"/>
        <v>11</v>
      </c>
      <c r="AF32" s="5">
        <f t="shared" si="1"/>
        <v>12</v>
      </c>
      <c r="AG32" s="5">
        <f t="shared" si="1"/>
        <v>12</v>
      </c>
      <c r="AH32" s="5">
        <f t="shared" si="1"/>
        <v>11</v>
      </c>
    </row>
    <row r="35" spans="4:34" ht="15.75" customHeight="1" x14ac:dyDescent="0.25">
      <c r="S35" s="83" t="s">
        <v>35</v>
      </c>
      <c r="T35" s="84"/>
      <c r="U35" s="84"/>
      <c r="V35" s="85"/>
      <c r="W35" s="77" t="s">
        <v>68</v>
      </c>
      <c r="X35" s="78"/>
      <c r="Y35" s="78"/>
      <c r="Z35" s="78"/>
      <c r="AA35" s="78"/>
      <c r="AB35" s="78"/>
      <c r="AC35" s="78"/>
      <c r="AD35" s="78"/>
      <c r="AE35" s="78"/>
      <c r="AF35" s="78"/>
      <c r="AG35" s="78"/>
      <c r="AH35" s="79"/>
    </row>
    <row r="36" spans="4:34" ht="15.95" customHeight="1" x14ac:dyDescent="0.25">
      <c r="D36" s="10">
        <v>7</v>
      </c>
      <c r="E36" s="75" t="s">
        <v>37</v>
      </c>
      <c r="F36" s="76"/>
      <c r="G36" s="76"/>
      <c r="H36" s="76"/>
      <c r="I36" s="76"/>
      <c r="J36" s="76"/>
      <c r="L36" s="48">
        <v>8</v>
      </c>
      <c r="M36" s="75" t="s">
        <v>62</v>
      </c>
      <c r="N36" s="76"/>
      <c r="O36" s="76"/>
      <c r="P36" s="76"/>
      <c r="Q36" s="76"/>
      <c r="R36" s="82"/>
      <c r="S36" s="75"/>
      <c r="T36" s="76"/>
      <c r="U36" s="76"/>
      <c r="V36" s="82"/>
      <c r="W36" s="97" t="s">
        <v>72</v>
      </c>
      <c r="X36" s="98"/>
      <c r="Y36" s="98"/>
      <c r="Z36" s="98"/>
      <c r="AA36" s="98"/>
      <c r="AB36" s="98"/>
      <c r="AC36" s="98"/>
      <c r="AD36" s="98"/>
      <c r="AE36" s="98"/>
      <c r="AF36" s="98"/>
      <c r="AG36" s="98"/>
      <c r="AH36" s="99"/>
    </row>
    <row r="37" spans="4:34" x14ac:dyDescent="0.25">
      <c r="D37" s="9">
        <v>9</v>
      </c>
      <c r="E37" s="75" t="s">
        <v>53</v>
      </c>
      <c r="F37" s="76"/>
      <c r="G37" s="76"/>
      <c r="H37" s="76"/>
      <c r="I37" s="76"/>
      <c r="J37" s="76"/>
      <c r="L37" s="5">
        <v>9</v>
      </c>
      <c r="M37" s="75" t="s">
        <v>40</v>
      </c>
      <c r="N37" s="76"/>
      <c r="O37" s="76"/>
      <c r="P37" s="76"/>
      <c r="Q37" s="76"/>
      <c r="R37" s="76"/>
      <c r="S37" s="75"/>
      <c r="T37" s="76"/>
      <c r="U37" s="76"/>
      <c r="V37" s="82"/>
      <c r="W37" s="100"/>
      <c r="X37" s="101"/>
      <c r="Y37" s="101"/>
      <c r="Z37" s="101"/>
      <c r="AA37" s="101"/>
      <c r="AB37" s="101"/>
      <c r="AC37" s="101"/>
      <c r="AD37" s="101"/>
      <c r="AE37" s="101"/>
      <c r="AF37" s="101"/>
      <c r="AG37" s="101"/>
      <c r="AH37" s="102"/>
    </row>
    <row r="38" spans="4:34" x14ac:dyDescent="0.25">
      <c r="D38" s="13">
        <v>12</v>
      </c>
      <c r="E38" s="75" t="s">
        <v>38</v>
      </c>
      <c r="F38" s="76"/>
      <c r="G38" s="76"/>
      <c r="H38" s="76"/>
      <c r="I38" s="76"/>
      <c r="J38" s="76"/>
      <c r="L38" s="17">
        <v>11</v>
      </c>
      <c r="M38" s="75" t="s">
        <v>41</v>
      </c>
      <c r="N38" s="76"/>
      <c r="O38" s="76"/>
      <c r="P38" s="76"/>
      <c r="Q38" s="76"/>
      <c r="R38" s="82"/>
      <c r="S38" s="75"/>
      <c r="T38" s="76"/>
      <c r="U38" s="76"/>
      <c r="V38" s="82"/>
      <c r="W38" s="100"/>
      <c r="X38" s="101"/>
      <c r="Y38" s="101"/>
      <c r="Z38" s="101"/>
      <c r="AA38" s="101"/>
      <c r="AB38" s="101"/>
      <c r="AC38" s="101"/>
      <c r="AD38" s="101"/>
      <c r="AE38" s="101"/>
      <c r="AF38" s="101"/>
      <c r="AG38" s="101"/>
      <c r="AH38" s="102"/>
    </row>
    <row r="39" spans="4:34" x14ac:dyDescent="0.25">
      <c r="D39" s="6">
        <v>8.3000000000000007</v>
      </c>
      <c r="E39" s="75" t="s">
        <v>42</v>
      </c>
      <c r="F39" s="76"/>
      <c r="G39" s="76"/>
      <c r="H39" s="76"/>
      <c r="I39" s="76"/>
      <c r="J39" s="76"/>
      <c r="L39" s="53" t="s">
        <v>28</v>
      </c>
      <c r="M39" s="75" t="s">
        <v>50</v>
      </c>
      <c r="N39" s="76"/>
      <c r="O39" s="76"/>
      <c r="P39" s="76"/>
      <c r="Q39" s="76"/>
      <c r="R39" s="82"/>
      <c r="S39" s="75"/>
      <c r="T39" s="76"/>
      <c r="U39" s="76"/>
      <c r="V39" s="82"/>
      <c r="W39" s="103"/>
      <c r="X39" s="104"/>
      <c r="Y39" s="104"/>
      <c r="Z39" s="104"/>
      <c r="AA39" s="104"/>
      <c r="AB39" s="104"/>
      <c r="AC39" s="104"/>
      <c r="AD39" s="104"/>
      <c r="AE39" s="104"/>
      <c r="AF39" s="104"/>
      <c r="AG39" s="104"/>
      <c r="AH39" s="105"/>
    </row>
    <row r="40" spans="4:34" x14ac:dyDescent="0.25">
      <c r="D40" s="14" t="s">
        <v>49</v>
      </c>
      <c r="E40" s="75" t="s">
        <v>52</v>
      </c>
      <c r="F40" s="76"/>
      <c r="G40" s="76"/>
      <c r="H40" s="76"/>
      <c r="I40" s="76"/>
      <c r="J40" s="76"/>
      <c r="L40" s="54" t="s">
        <v>29</v>
      </c>
      <c r="M40" s="75" t="s">
        <v>69</v>
      </c>
      <c r="N40" s="76"/>
      <c r="O40" s="76"/>
      <c r="P40" s="76"/>
      <c r="Q40" s="76"/>
      <c r="R40" s="82"/>
      <c r="S40" s="86"/>
      <c r="T40" s="87"/>
      <c r="U40" s="87"/>
      <c r="V40" s="88"/>
      <c r="W40" s="77"/>
      <c r="X40" s="78"/>
      <c r="Y40" s="78"/>
      <c r="Z40" s="78"/>
      <c r="AA40" s="78"/>
      <c r="AB40" s="78"/>
      <c r="AC40" s="78"/>
      <c r="AD40" s="78"/>
      <c r="AE40" s="78"/>
      <c r="AF40" s="78"/>
      <c r="AG40" s="78"/>
      <c r="AH40" s="79"/>
    </row>
    <row r="42" spans="4:34" x14ac:dyDescent="0.25">
      <c r="D42" s="47" t="s">
        <v>58</v>
      </c>
      <c r="E42" s="75" t="s">
        <v>60</v>
      </c>
      <c r="F42" s="76"/>
      <c r="G42" s="76"/>
      <c r="H42" s="76"/>
      <c r="I42" s="76"/>
      <c r="J42" s="76"/>
      <c r="L42" s="35" t="s">
        <v>59</v>
      </c>
      <c r="M42" s="75" t="s">
        <v>56</v>
      </c>
      <c r="N42" s="76"/>
      <c r="O42" s="76"/>
      <c r="P42" s="76"/>
      <c r="Q42" s="76"/>
      <c r="R42" s="76"/>
      <c r="Z42" s="1">
        <f>31-7</f>
        <v>24</v>
      </c>
    </row>
    <row r="43" spans="4:34" x14ac:dyDescent="0.25">
      <c r="D43" s="52" t="s">
        <v>64</v>
      </c>
      <c r="E43" s="75" t="s">
        <v>65</v>
      </c>
      <c r="F43" s="76"/>
      <c r="G43" s="76"/>
      <c r="H43" s="76"/>
      <c r="I43" s="76"/>
      <c r="J43" s="76"/>
      <c r="K43" s="51"/>
    </row>
  </sheetData>
  <mergeCells count="30">
    <mergeCell ref="D9:AH9"/>
    <mergeCell ref="E43:J43"/>
    <mergeCell ref="B32:C32"/>
    <mergeCell ref="B1:AH1"/>
    <mergeCell ref="B2:C3"/>
    <mergeCell ref="B4:AH4"/>
    <mergeCell ref="B6:AH6"/>
    <mergeCell ref="B12:AH12"/>
    <mergeCell ref="B16:AH16"/>
    <mergeCell ref="B22:AH22"/>
    <mergeCell ref="B28:C28"/>
    <mergeCell ref="B29:C29"/>
    <mergeCell ref="B30:C30"/>
    <mergeCell ref="B31:C31"/>
    <mergeCell ref="E40:J40"/>
    <mergeCell ref="M40:R40"/>
    <mergeCell ref="W40:AH40"/>
    <mergeCell ref="W35:AH35"/>
    <mergeCell ref="E42:J42"/>
    <mergeCell ref="M42:R42"/>
    <mergeCell ref="S35:V40"/>
    <mergeCell ref="E36:J36"/>
    <mergeCell ref="M36:R36"/>
    <mergeCell ref="E37:J37"/>
    <mergeCell ref="M37:R37"/>
    <mergeCell ref="E38:J38"/>
    <mergeCell ref="M38:R38"/>
    <mergeCell ref="E39:J39"/>
    <mergeCell ref="M39:R39"/>
    <mergeCell ref="W36:AH39"/>
  </mergeCells>
  <phoneticPr fontId="3" type="noConversion"/>
  <pageMargins left="0.143700787" right="0" top="0.35433070866141703" bottom="0.35433070866141703" header="0.31496062992126" footer="0.31496062992126"/>
  <pageSetup scale="80" orientation="landscape" horizontalDpi="1200" verticalDpi="1200" r:id="rId1"/>
  <colBreaks count="1" manualBreakCount="1">
    <brk id="34"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FC8F-A778-41AB-9CE9-12790FAFB36A}">
  <dimension ref="B1:AM45"/>
  <sheetViews>
    <sheetView showGridLines="0" zoomScaleNormal="100" zoomScaleSheetLayoutView="100" workbookViewId="0">
      <selection activeCell="AH2" sqref="AH1:AH1048576"/>
    </sheetView>
  </sheetViews>
  <sheetFormatPr defaultColWidth="11" defaultRowHeight="15.75" x14ac:dyDescent="0.25"/>
  <cols>
    <col min="1" max="1" width="1.5" customWidth="1"/>
    <col min="2" max="2" width="2.5" customWidth="1"/>
    <col min="4" max="34" width="4.5" style="1" customWidth="1"/>
    <col min="35" max="35" width="5.375" customWidth="1"/>
  </cols>
  <sheetData>
    <row r="1" spans="2:39" ht="18.75" x14ac:dyDescent="0.3">
      <c r="B1" s="92" t="s">
        <v>73</v>
      </c>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row>
    <row r="2" spans="2:39" x14ac:dyDescent="0.25">
      <c r="B2" s="96"/>
      <c r="C2" s="96"/>
      <c r="D2" s="6" t="s">
        <v>4</v>
      </c>
      <c r="E2" s="6" t="s">
        <v>6</v>
      </c>
      <c r="F2" s="2" t="s">
        <v>7</v>
      </c>
      <c r="G2" s="2" t="s">
        <v>3</v>
      </c>
      <c r="H2" s="2" t="s">
        <v>1</v>
      </c>
      <c r="I2" s="2" t="s">
        <v>5</v>
      </c>
      <c r="J2" s="2" t="s">
        <v>8</v>
      </c>
      <c r="K2" s="6" t="s">
        <v>4</v>
      </c>
      <c r="L2" s="6" t="s">
        <v>9</v>
      </c>
      <c r="M2" s="2" t="s">
        <v>7</v>
      </c>
      <c r="N2" s="2" t="s">
        <v>3</v>
      </c>
      <c r="O2" s="2" t="s">
        <v>1</v>
      </c>
      <c r="P2" s="2" t="s">
        <v>5</v>
      </c>
      <c r="Q2" s="2" t="s">
        <v>8</v>
      </c>
      <c r="R2" s="6" t="s">
        <v>4</v>
      </c>
      <c r="S2" s="6" t="s">
        <v>9</v>
      </c>
      <c r="T2" s="2" t="s">
        <v>7</v>
      </c>
      <c r="U2" s="2" t="s">
        <v>3</v>
      </c>
      <c r="V2" s="2" t="s">
        <v>1</v>
      </c>
      <c r="W2" s="2" t="s">
        <v>5</v>
      </c>
      <c r="X2" s="2" t="s">
        <v>8</v>
      </c>
      <c r="Y2" s="6" t="s">
        <v>4</v>
      </c>
      <c r="Z2" s="6" t="s">
        <v>9</v>
      </c>
      <c r="AA2" s="2" t="s">
        <v>7</v>
      </c>
      <c r="AB2" s="2" t="s">
        <v>3</v>
      </c>
      <c r="AC2" s="2" t="s">
        <v>1</v>
      </c>
      <c r="AD2" s="2" t="s">
        <v>5</v>
      </c>
      <c r="AE2" s="2" t="s">
        <v>8</v>
      </c>
      <c r="AF2" s="6" t="s">
        <v>4</v>
      </c>
      <c r="AG2" s="6" t="s">
        <v>9</v>
      </c>
      <c r="AH2" s="2" t="s">
        <v>7</v>
      </c>
    </row>
    <row r="3" spans="2:39" x14ac:dyDescent="0.25">
      <c r="B3" s="96"/>
      <c r="C3" s="96"/>
      <c r="D3" s="5">
        <v>1</v>
      </c>
      <c r="E3" s="5">
        <v>2</v>
      </c>
      <c r="F3" s="5">
        <v>3</v>
      </c>
      <c r="G3" s="5">
        <v>4</v>
      </c>
      <c r="H3" s="5">
        <v>5</v>
      </c>
      <c r="I3" s="5">
        <v>6</v>
      </c>
      <c r="J3" s="5">
        <v>7</v>
      </c>
      <c r="K3" s="5">
        <v>8</v>
      </c>
      <c r="L3" s="5">
        <v>9</v>
      </c>
      <c r="M3" s="5">
        <v>10</v>
      </c>
      <c r="N3" s="5">
        <v>11</v>
      </c>
      <c r="O3" s="5">
        <v>12</v>
      </c>
      <c r="P3" s="5">
        <v>13</v>
      </c>
      <c r="Q3" s="5">
        <v>14</v>
      </c>
      <c r="R3" s="5">
        <v>15</v>
      </c>
      <c r="S3" s="5">
        <v>16</v>
      </c>
      <c r="T3" s="5">
        <v>17</v>
      </c>
      <c r="U3" s="5">
        <v>18</v>
      </c>
      <c r="V3" s="5">
        <v>19</v>
      </c>
      <c r="W3" s="5">
        <v>20</v>
      </c>
      <c r="X3" s="5">
        <v>21</v>
      </c>
      <c r="Y3" s="5">
        <v>22</v>
      </c>
      <c r="Z3" s="5">
        <v>23</v>
      </c>
      <c r="AA3" s="5">
        <v>24</v>
      </c>
      <c r="AB3" s="5">
        <v>25</v>
      </c>
      <c r="AC3" s="5">
        <v>26</v>
      </c>
      <c r="AD3" s="5">
        <v>27</v>
      </c>
      <c r="AE3" s="5">
        <v>28</v>
      </c>
      <c r="AF3" s="5">
        <v>29</v>
      </c>
      <c r="AG3" s="5">
        <v>30</v>
      </c>
      <c r="AH3" s="5">
        <v>31</v>
      </c>
    </row>
    <row r="4" spans="2:39" s="8" customFormat="1" ht="8.1" customHeight="1" x14ac:dyDescent="0.2">
      <c r="B4" s="95" t="s">
        <v>10</v>
      </c>
      <c r="C4" s="95"/>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row>
    <row r="5" spans="2:39" x14ac:dyDescent="0.25">
      <c r="B5" s="29"/>
      <c r="C5" s="20" t="s">
        <v>16</v>
      </c>
      <c r="D5" s="2"/>
      <c r="E5" s="2"/>
      <c r="F5" s="10">
        <v>7</v>
      </c>
      <c r="G5" s="10">
        <v>7</v>
      </c>
      <c r="H5" s="53" t="s">
        <v>28</v>
      </c>
      <c r="I5" s="53" t="s">
        <v>28</v>
      </c>
      <c r="J5" s="53" t="s">
        <v>28</v>
      </c>
      <c r="K5" s="10">
        <v>7</v>
      </c>
      <c r="L5" s="10">
        <v>7</v>
      </c>
      <c r="M5" s="10">
        <v>7</v>
      </c>
      <c r="N5" s="10">
        <v>7</v>
      </c>
      <c r="O5" s="10">
        <v>7</v>
      </c>
      <c r="P5" s="10">
        <v>7</v>
      </c>
      <c r="Q5" s="10">
        <v>7</v>
      </c>
      <c r="R5" s="2"/>
      <c r="S5" s="10">
        <v>7</v>
      </c>
      <c r="T5" s="10">
        <v>7</v>
      </c>
      <c r="U5" s="10">
        <v>7</v>
      </c>
      <c r="V5" s="10">
        <v>7</v>
      </c>
      <c r="W5" s="10">
        <v>7</v>
      </c>
      <c r="X5" s="10">
        <v>7</v>
      </c>
      <c r="Y5" s="2"/>
      <c r="Z5" s="2"/>
      <c r="AA5" s="10">
        <v>7</v>
      </c>
      <c r="AB5" s="10">
        <v>7</v>
      </c>
      <c r="AC5" s="10">
        <v>7</v>
      </c>
      <c r="AD5" s="10">
        <v>7</v>
      </c>
      <c r="AE5" s="10">
        <v>7</v>
      </c>
      <c r="AF5" s="2"/>
      <c r="AG5" s="2"/>
      <c r="AH5" s="10">
        <v>7</v>
      </c>
      <c r="AI5" s="61">
        <v>7</v>
      </c>
      <c r="AJ5" s="39" t="s">
        <v>46</v>
      </c>
      <c r="AK5" s="57">
        <v>6</v>
      </c>
    </row>
    <row r="6" spans="2:39" s="8" customFormat="1" ht="8.1" customHeight="1" x14ac:dyDescent="0.25">
      <c r="B6" s="93" t="s">
        <v>11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60"/>
      <c r="AJ6" s="28"/>
      <c r="AK6" s="58"/>
    </row>
    <row r="7" spans="2:39" x14ac:dyDescent="0.25">
      <c r="B7" s="37"/>
      <c r="C7" s="38" t="s">
        <v>17</v>
      </c>
      <c r="D7" s="14" t="s">
        <v>49</v>
      </c>
      <c r="E7" s="2"/>
      <c r="F7" s="2"/>
      <c r="G7" s="14" t="s">
        <v>49</v>
      </c>
      <c r="H7" s="14" t="s">
        <v>49</v>
      </c>
      <c r="I7" s="14" t="s">
        <v>49</v>
      </c>
      <c r="J7" s="14" t="s">
        <v>49</v>
      </c>
      <c r="K7" s="14" t="s">
        <v>49</v>
      </c>
      <c r="L7" s="14" t="s">
        <v>49</v>
      </c>
      <c r="M7" s="14" t="s">
        <v>49</v>
      </c>
      <c r="N7" s="14" t="s">
        <v>49</v>
      </c>
      <c r="O7" s="14" t="s">
        <v>49</v>
      </c>
      <c r="P7" s="14" t="s">
        <v>49</v>
      </c>
      <c r="Q7" s="14" t="s">
        <v>49</v>
      </c>
      <c r="R7" s="14" t="s">
        <v>49</v>
      </c>
      <c r="S7" s="14" t="s">
        <v>49</v>
      </c>
      <c r="T7" s="2"/>
      <c r="U7" s="14" t="s">
        <v>49</v>
      </c>
      <c r="V7" s="14" t="s">
        <v>49</v>
      </c>
      <c r="W7" s="14" t="s">
        <v>49</v>
      </c>
      <c r="X7" s="14" t="s">
        <v>49</v>
      </c>
      <c r="Y7" s="14" t="s">
        <v>49</v>
      </c>
      <c r="Z7" s="14" t="s">
        <v>49</v>
      </c>
      <c r="AA7" s="14" t="s">
        <v>49</v>
      </c>
      <c r="AB7" s="14" t="s">
        <v>49</v>
      </c>
      <c r="AC7" s="14" t="s">
        <v>49</v>
      </c>
      <c r="AD7" s="14" t="s">
        <v>49</v>
      </c>
      <c r="AE7" s="14" t="s">
        <v>49</v>
      </c>
      <c r="AF7" s="2"/>
      <c r="AG7" s="2"/>
      <c r="AH7" s="2"/>
      <c r="AI7" s="60">
        <v>6</v>
      </c>
      <c r="AJ7" s="41" t="s">
        <v>51</v>
      </c>
      <c r="AK7" s="31">
        <v>7</v>
      </c>
    </row>
    <row r="8" spans="2:39" x14ac:dyDescent="0.25">
      <c r="B8" s="37"/>
      <c r="C8" s="32" t="s">
        <v>63</v>
      </c>
      <c r="D8" s="50" t="s">
        <v>59</v>
      </c>
      <c r="E8" s="50" t="s">
        <v>59</v>
      </c>
      <c r="F8" s="50" t="s">
        <v>59</v>
      </c>
      <c r="G8" s="50" t="s">
        <v>59</v>
      </c>
      <c r="H8" s="2"/>
      <c r="I8" s="50" t="s">
        <v>59</v>
      </c>
      <c r="J8" s="50" t="s">
        <v>59</v>
      </c>
      <c r="K8" s="50" t="s">
        <v>59</v>
      </c>
      <c r="L8" s="50" t="s">
        <v>59</v>
      </c>
      <c r="M8" s="50" t="s">
        <v>59</v>
      </c>
      <c r="N8" s="50" t="s">
        <v>59</v>
      </c>
      <c r="O8" s="50" t="s">
        <v>59</v>
      </c>
      <c r="P8" s="50" t="s">
        <v>59</v>
      </c>
      <c r="Q8" s="50" t="s">
        <v>59</v>
      </c>
      <c r="R8" s="50" t="s">
        <v>59</v>
      </c>
      <c r="S8" s="50" t="s">
        <v>59</v>
      </c>
      <c r="T8" s="47" t="s">
        <v>58</v>
      </c>
      <c r="U8" s="2"/>
      <c r="V8" s="2"/>
      <c r="W8" s="2"/>
      <c r="X8" s="2"/>
      <c r="Y8" s="2"/>
      <c r="Z8" s="2"/>
      <c r="AA8" s="50" t="s">
        <v>59</v>
      </c>
      <c r="AB8" s="50" t="s">
        <v>59</v>
      </c>
      <c r="AC8" s="50" t="s">
        <v>59</v>
      </c>
      <c r="AD8" s="50" t="s">
        <v>59</v>
      </c>
      <c r="AE8" s="50" t="s">
        <v>59</v>
      </c>
      <c r="AF8" s="50" t="s">
        <v>59</v>
      </c>
      <c r="AG8" s="50" t="s">
        <v>59</v>
      </c>
      <c r="AH8" s="50" t="s">
        <v>59</v>
      </c>
      <c r="AI8" s="60"/>
      <c r="AJ8" s="42" t="s">
        <v>44</v>
      </c>
      <c r="AK8" s="31">
        <v>8</v>
      </c>
      <c r="AL8">
        <v>22.5</v>
      </c>
      <c r="AM8">
        <f>AL8*700</f>
        <v>15750</v>
      </c>
    </row>
    <row r="9" spans="2:39" s="8" customFormat="1" ht="8.1" customHeight="1" x14ac:dyDescent="0.25">
      <c r="B9" s="22" t="s">
        <v>15</v>
      </c>
      <c r="C9" s="22"/>
      <c r="D9" s="106"/>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8"/>
      <c r="AI9" s="60"/>
      <c r="AJ9" s="28"/>
      <c r="AK9" s="58"/>
    </row>
    <row r="10" spans="2:39" x14ac:dyDescent="0.25">
      <c r="B10" s="19"/>
      <c r="C10" s="20" t="s">
        <v>26</v>
      </c>
      <c r="D10" s="14" t="s">
        <v>49</v>
      </c>
      <c r="E10" s="14" t="s">
        <v>49</v>
      </c>
      <c r="F10" s="14" t="s">
        <v>49</v>
      </c>
      <c r="G10" s="14" t="s">
        <v>49</v>
      </c>
      <c r="H10" s="2"/>
      <c r="I10" s="14" t="s">
        <v>49</v>
      </c>
      <c r="J10" s="14" t="s">
        <v>49</v>
      </c>
      <c r="K10" s="14" t="s">
        <v>49</v>
      </c>
      <c r="L10" s="53" t="s">
        <v>28</v>
      </c>
      <c r="M10" s="14" t="s">
        <v>49</v>
      </c>
      <c r="N10" s="14" t="s">
        <v>49</v>
      </c>
      <c r="O10" s="14" t="s">
        <v>49</v>
      </c>
      <c r="P10" s="14" t="s">
        <v>49</v>
      </c>
      <c r="Q10" s="2"/>
      <c r="R10" s="14" t="s">
        <v>49</v>
      </c>
      <c r="S10" s="14" t="s">
        <v>49</v>
      </c>
      <c r="T10" s="14" t="s">
        <v>49</v>
      </c>
      <c r="U10" s="14" t="s">
        <v>49</v>
      </c>
      <c r="V10" s="14" t="s">
        <v>49</v>
      </c>
      <c r="W10" s="14" t="s">
        <v>49</v>
      </c>
      <c r="X10" s="2"/>
      <c r="Y10" s="2"/>
      <c r="Z10" s="14" t="s">
        <v>49</v>
      </c>
      <c r="AA10" s="14" t="s">
        <v>49</v>
      </c>
      <c r="AB10" s="14" t="s">
        <v>49</v>
      </c>
      <c r="AC10" s="14" t="s">
        <v>49</v>
      </c>
      <c r="AD10" s="14" t="s">
        <v>49</v>
      </c>
      <c r="AE10" s="2"/>
      <c r="AF10" s="2"/>
      <c r="AG10" s="14" t="s">
        <v>49</v>
      </c>
      <c r="AH10" s="14" t="s">
        <v>49</v>
      </c>
      <c r="AI10" s="60">
        <v>6</v>
      </c>
      <c r="AJ10" s="44" t="s">
        <v>47</v>
      </c>
      <c r="AK10" s="30">
        <v>7</v>
      </c>
    </row>
    <row r="11" spans="2:39" x14ac:dyDescent="0.25">
      <c r="B11" s="19"/>
      <c r="C11" s="20" t="s">
        <v>75</v>
      </c>
      <c r="D11" s="10">
        <v>7</v>
      </c>
      <c r="E11" s="10">
        <v>7</v>
      </c>
      <c r="F11" s="10">
        <v>7</v>
      </c>
      <c r="G11" s="2"/>
      <c r="H11" s="10">
        <v>7</v>
      </c>
      <c r="I11" s="10">
        <v>7</v>
      </c>
      <c r="J11" s="10">
        <v>7</v>
      </c>
      <c r="K11" s="10">
        <v>7</v>
      </c>
      <c r="L11" s="10">
        <v>7</v>
      </c>
      <c r="M11" s="10">
        <v>7</v>
      </c>
      <c r="N11" s="2"/>
      <c r="O11" s="10">
        <v>7</v>
      </c>
      <c r="P11" s="10">
        <v>7</v>
      </c>
      <c r="Q11" s="10">
        <v>7</v>
      </c>
      <c r="R11" s="10">
        <v>7</v>
      </c>
      <c r="S11" s="10">
        <v>7</v>
      </c>
      <c r="T11" s="10">
        <v>7</v>
      </c>
      <c r="U11" s="2"/>
      <c r="V11" s="2"/>
      <c r="W11" s="10">
        <v>7</v>
      </c>
      <c r="X11" s="10">
        <v>7</v>
      </c>
      <c r="Y11" s="10">
        <v>7</v>
      </c>
      <c r="Z11" s="10">
        <v>7</v>
      </c>
      <c r="AA11" s="10">
        <v>7</v>
      </c>
      <c r="AB11" s="10">
        <v>7</v>
      </c>
      <c r="AC11" s="2"/>
      <c r="AD11" s="10">
        <v>7</v>
      </c>
      <c r="AE11" s="10">
        <v>7</v>
      </c>
      <c r="AF11" s="10">
        <v>7</v>
      </c>
      <c r="AG11" s="10">
        <v>7</v>
      </c>
      <c r="AH11" s="10">
        <v>7</v>
      </c>
      <c r="AI11" s="60"/>
      <c r="AJ11" s="42" t="s">
        <v>44</v>
      </c>
      <c r="AK11" s="30"/>
    </row>
    <row r="12" spans="2:39" s="8" customFormat="1" ht="8.1" customHeight="1" x14ac:dyDescent="0.25">
      <c r="B12" s="93" t="s">
        <v>12</v>
      </c>
      <c r="C12" s="93"/>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60"/>
      <c r="AJ12" s="28"/>
      <c r="AK12" s="58"/>
    </row>
    <row r="13" spans="2:39" x14ac:dyDescent="0.25">
      <c r="B13" s="19"/>
      <c r="C13" s="20" t="s">
        <v>19</v>
      </c>
      <c r="D13" s="10">
        <v>7</v>
      </c>
      <c r="E13" s="10">
        <v>7</v>
      </c>
      <c r="F13" s="10">
        <v>7</v>
      </c>
      <c r="G13" s="2"/>
      <c r="H13" s="10">
        <v>7</v>
      </c>
      <c r="I13" s="10">
        <v>7</v>
      </c>
      <c r="J13" s="10">
        <v>7</v>
      </c>
      <c r="K13" s="10">
        <v>7</v>
      </c>
      <c r="L13" s="10">
        <v>7</v>
      </c>
      <c r="M13" s="10">
        <v>7</v>
      </c>
      <c r="N13" s="10">
        <v>7</v>
      </c>
      <c r="O13" s="10">
        <v>7</v>
      </c>
      <c r="P13" s="2"/>
      <c r="Q13" s="10">
        <v>7</v>
      </c>
      <c r="R13" s="10">
        <v>7</v>
      </c>
      <c r="S13" s="10">
        <v>7</v>
      </c>
      <c r="T13" s="2"/>
      <c r="U13" s="10">
        <v>7</v>
      </c>
      <c r="V13" s="10">
        <v>7</v>
      </c>
      <c r="W13" s="10">
        <v>7</v>
      </c>
      <c r="X13" s="10">
        <v>7</v>
      </c>
      <c r="Y13" s="10">
        <v>7</v>
      </c>
      <c r="Z13" s="10">
        <v>7</v>
      </c>
      <c r="AA13" s="47" t="s">
        <v>58</v>
      </c>
      <c r="AB13" s="2"/>
      <c r="AC13" s="10">
        <v>7</v>
      </c>
      <c r="AD13" s="10">
        <v>7</v>
      </c>
      <c r="AE13" s="10">
        <v>7</v>
      </c>
      <c r="AF13" s="10">
        <v>7</v>
      </c>
      <c r="AG13" s="10">
        <v>7</v>
      </c>
      <c r="AH13" s="2"/>
      <c r="AI13" s="63">
        <v>6</v>
      </c>
      <c r="AJ13" s="41" t="s">
        <v>79</v>
      </c>
      <c r="AK13" s="57">
        <v>6</v>
      </c>
    </row>
    <row r="14" spans="2:39" x14ac:dyDescent="0.25">
      <c r="B14" s="19"/>
      <c r="C14" s="20" t="s">
        <v>20</v>
      </c>
      <c r="D14" s="10">
        <v>7</v>
      </c>
      <c r="E14" s="2"/>
      <c r="F14" s="10">
        <v>7</v>
      </c>
      <c r="G14" s="10">
        <v>7</v>
      </c>
      <c r="H14" s="10">
        <v>7</v>
      </c>
      <c r="I14" s="10">
        <v>7</v>
      </c>
      <c r="J14" s="2"/>
      <c r="K14" s="10">
        <v>7</v>
      </c>
      <c r="L14" s="10">
        <v>7</v>
      </c>
      <c r="M14" s="10">
        <v>7</v>
      </c>
      <c r="N14" s="10">
        <v>7</v>
      </c>
      <c r="O14" s="10">
        <v>7</v>
      </c>
      <c r="P14" s="10">
        <v>7</v>
      </c>
      <c r="Q14" s="10">
        <v>7</v>
      </c>
      <c r="R14" s="10">
        <v>7</v>
      </c>
      <c r="S14" s="2"/>
      <c r="T14" s="10">
        <v>7</v>
      </c>
      <c r="U14" s="10">
        <v>7</v>
      </c>
      <c r="V14" s="10">
        <v>7</v>
      </c>
      <c r="W14" s="10">
        <v>7</v>
      </c>
      <c r="X14" s="10">
        <v>7</v>
      </c>
      <c r="Y14" s="2"/>
      <c r="Z14" s="47" t="s">
        <v>58</v>
      </c>
      <c r="AA14" s="10">
        <v>7</v>
      </c>
      <c r="AB14" s="10">
        <v>7</v>
      </c>
      <c r="AC14" s="10">
        <v>7</v>
      </c>
      <c r="AD14" s="10">
        <v>7</v>
      </c>
      <c r="AE14" s="10">
        <v>7</v>
      </c>
      <c r="AF14" s="2"/>
      <c r="AG14" s="2"/>
      <c r="AH14" s="10">
        <v>7</v>
      </c>
      <c r="AI14" s="63">
        <v>7</v>
      </c>
      <c r="AJ14" s="39" t="s">
        <v>43</v>
      </c>
      <c r="AK14" s="30">
        <v>7</v>
      </c>
    </row>
    <row r="15" spans="2:39" x14ac:dyDescent="0.25">
      <c r="B15" s="19"/>
      <c r="C15" s="20" t="s">
        <v>74</v>
      </c>
      <c r="D15" s="3"/>
      <c r="E15" s="3"/>
      <c r="F15" s="3"/>
      <c r="G15" s="62" t="s">
        <v>58</v>
      </c>
      <c r="H15" s="62" t="s">
        <v>58</v>
      </c>
      <c r="I15" s="62" t="s">
        <v>58</v>
      </c>
      <c r="J15" s="62" t="s">
        <v>58</v>
      </c>
      <c r="K15" s="62" t="s">
        <v>58</v>
      </c>
      <c r="L15" s="62" t="s">
        <v>58</v>
      </c>
      <c r="M15" s="62" t="s">
        <v>58</v>
      </c>
      <c r="N15" s="62" t="s">
        <v>58</v>
      </c>
      <c r="O15" s="2"/>
      <c r="P15" s="62" t="s">
        <v>58</v>
      </c>
      <c r="Q15" s="62" t="s">
        <v>58</v>
      </c>
      <c r="R15" s="62" t="s">
        <v>58</v>
      </c>
      <c r="S15" s="62" t="s">
        <v>58</v>
      </c>
      <c r="T15" s="62" t="s">
        <v>58</v>
      </c>
      <c r="U15" s="62" t="s">
        <v>58</v>
      </c>
      <c r="V15" s="62" t="s">
        <v>58</v>
      </c>
      <c r="W15" s="62" t="s">
        <v>58</v>
      </c>
      <c r="X15" s="3"/>
      <c r="Y15" s="3"/>
      <c r="Z15" s="3"/>
      <c r="AA15" s="3"/>
      <c r="AB15" s="3"/>
      <c r="AC15" s="3"/>
      <c r="AD15" s="3"/>
      <c r="AE15" s="3"/>
      <c r="AF15" s="3"/>
      <c r="AG15" s="3"/>
      <c r="AH15" s="3"/>
      <c r="AI15" s="64"/>
      <c r="AJ15" s="30"/>
      <c r="AK15" s="30"/>
      <c r="AL15">
        <v>16</v>
      </c>
      <c r="AM15">
        <f>AL15*700</f>
        <v>11200</v>
      </c>
    </row>
    <row r="16" spans="2:39" x14ac:dyDescent="0.25">
      <c r="B16" s="19"/>
      <c r="C16" s="20" t="s">
        <v>66</v>
      </c>
      <c r="D16" s="2"/>
      <c r="E16" s="2"/>
      <c r="F16" s="35" t="s">
        <v>59</v>
      </c>
      <c r="G16" s="35" t="s">
        <v>59</v>
      </c>
      <c r="H16" s="35" t="s">
        <v>59</v>
      </c>
      <c r="I16" s="35" t="s">
        <v>59</v>
      </c>
      <c r="J16" s="35" t="s">
        <v>59</v>
      </c>
      <c r="K16" s="35" t="s">
        <v>59</v>
      </c>
      <c r="L16" s="2"/>
      <c r="M16" s="35" t="s">
        <v>59</v>
      </c>
      <c r="N16" s="35" t="s">
        <v>59</v>
      </c>
      <c r="O16" s="35" t="s">
        <v>59</v>
      </c>
      <c r="P16" s="35" t="s">
        <v>59</v>
      </c>
      <c r="Q16" s="35" t="s">
        <v>59</v>
      </c>
      <c r="R16" s="35" t="s">
        <v>59</v>
      </c>
      <c r="S16" s="35" t="s">
        <v>59</v>
      </c>
      <c r="T16" s="35" t="s">
        <v>59</v>
      </c>
      <c r="U16" s="35" t="s">
        <v>59</v>
      </c>
      <c r="V16" s="2"/>
      <c r="W16" s="2"/>
      <c r="X16" s="47" t="s">
        <v>58</v>
      </c>
      <c r="Y16" s="47" t="s">
        <v>58</v>
      </c>
      <c r="Z16" s="47" t="s">
        <v>58</v>
      </c>
      <c r="AA16" s="2"/>
      <c r="AB16" s="2"/>
      <c r="AC16" s="47" t="s">
        <v>58</v>
      </c>
      <c r="AD16" s="47" t="s">
        <v>58</v>
      </c>
      <c r="AE16" s="47" t="s">
        <v>58</v>
      </c>
      <c r="AF16" s="47" t="s">
        <v>58</v>
      </c>
      <c r="AG16" s="47" t="s">
        <v>58</v>
      </c>
      <c r="AH16" s="47" t="s">
        <v>58</v>
      </c>
      <c r="AI16" s="64"/>
      <c r="AJ16" s="30"/>
      <c r="AK16" s="30"/>
      <c r="AL16">
        <v>24</v>
      </c>
      <c r="AM16">
        <f>700*AL16</f>
        <v>16800</v>
      </c>
    </row>
    <row r="17" spans="2:39" s="8" customFormat="1" ht="8.1" customHeight="1" x14ac:dyDescent="0.25">
      <c r="B17" s="93" t="s">
        <v>13</v>
      </c>
      <c r="C17" s="93"/>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65"/>
      <c r="AJ17" s="28"/>
      <c r="AK17" s="58"/>
    </row>
    <row r="18" spans="2:39" ht="16.5" customHeight="1" x14ac:dyDescent="0.25">
      <c r="B18" s="19"/>
      <c r="C18" s="20" t="s">
        <v>21</v>
      </c>
      <c r="D18" s="9">
        <v>9</v>
      </c>
      <c r="E18" s="2"/>
      <c r="F18" s="9">
        <v>9</v>
      </c>
      <c r="G18" s="9">
        <v>9</v>
      </c>
      <c r="H18" s="9">
        <v>9</v>
      </c>
      <c r="I18" s="9">
        <v>9</v>
      </c>
      <c r="J18" s="9">
        <v>9</v>
      </c>
      <c r="K18" s="2"/>
      <c r="L18" s="6">
        <v>8.3000000000000007</v>
      </c>
      <c r="M18" s="6">
        <v>8.3000000000000007</v>
      </c>
      <c r="N18" s="6">
        <v>8.3000000000000007</v>
      </c>
      <c r="O18" s="6">
        <v>8.3000000000000007</v>
      </c>
      <c r="P18" s="6">
        <v>8.3000000000000007</v>
      </c>
      <c r="Q18" s="6">
        <v>8.3000000000000007</v>
      </c>
      <c r="R18" s="2"/>
      <c r="S18" s="6">
        <v>8.3000000000000007</v>
      </c>
      <c r="T18" s="6">
        <v>8.3000000000000007</v>
      </c>
      <c r="U18" s="6">
        <v>8.3000000000000007</v>
      </c>
      <c r="V18" s="6">
        <v>8.3000000000000007</v>
      </c>
      <c r="W18" s="6">
        <v>8.3000000000000007</v>
      </c>
      <c r="X18" s="6">
        <v>8.3000000000000007</v>
      </c>
      <c r="Y18" s="2"/>
      <c r="Z18" s="2"/>
      <c r="AA18" s="9">
        <v>9</v>
      </c>
      <c r="AB18" s="9">
        <v>9</v>
      </c>
      <c r="AC18" s="9">
        <v>9</v>
      </c>
      <c r="AD18" s="9">
        <v>9</v>
      </c>
      <c r="AE18" s="9">
        <v>9</v>
      </c>
      <c r="AF18" s="2"/>
      <c r="AG18" s="2"/>
      <c r="AH18" s="9">
        <v>9</v>
      </c>
      <c r="AI18" s="63">
        <v>7</v>
      </c>
      <c r="AJ18" s="45" t="s">
        <v>46</v>
      </c>
      <c r="AK18" s="59">
        <v>7</v>
      </c>
    </row>
    <row r="19" spans="2:39" x14ac:dyDescent="0.25">
      <c r="B19" s="19"/>
      <c r="C19" s="20" t="s">
        <v>22</v>
      </c>
      <c r="D19" s="10">
        <v>7</v>
      </c>
      <c r="E19" s="10">
        <v>7</v>
      </c>
      <c r="F19" s="10">
        <v>7</v>
      </c>
      <c r="G19" s="10">
        <v>7</v>
      </c>
      <c r="H19" s="10">
        <v>7</v>
      </c>
      <c r="I19" s="10">
        <v>7</v>
      </c>
      <c r="J19" s="2"/>
      <c r="K19" s="10">
        <v>7</v>
      </c>
      <c r="L19" s="10">
        <v>7</v>
      </c>
      <c r="M19" s="10">
        <v>7</v>
      </c>
      <c r="N19" s="10">
        <v>7</v>
      </c>
      <c r="O19" s="10">
        <v>7</v>
      </c>
      <c r="P19" s="2"/>
      <c r="Q19" s="10">
        <v>7</v>
      </c>
      <c r="R19" s="10">
        <v>7</v>
      </c>
      <c r="S19" s="10">
        <v>7</v>
      </c>
      <c r="T19" s="10">
        <v>7</v>
      </c>
      <c r="U19" s="10">
        <v>7</v>
      </c>
      <c r="V19" s="10">
        <v>7</v>
      </c>
      <c r="W19" s="10">
        <v>7</v>
      </c>
      <c r="X19" s="2"/>
      <c r="Y19" s="10">
        <v>7</v>
      </c>
      <c r="Z19" s="10">
        <v>7</v>
      </c>
      <c r="AA19" s="10">
        <v>7</v>
      </c>
      <c r="AB19" s="10">
        <v>7</v>
      </c>
      <c r="AC19" s="10">
        <v>7</v>
      </c>
      <c r="AD19" s="2"/>
      <c r="AE19" s="2"/>
      <c r="AF19" s="10">
        <v>7</v>
      </c>
      <c r="AG19" s="10">
        <v>7</v>
      </c>
      <c r="AH19" s="2"/>
      <c r="AI19" s="63">
        <v>6</v>
      </c>
      <c r="AJ19" s="43" t="s">
        <v>48</v>
      </c>
      <c r="AK19">
        <v>6</v>
      </c>
    </row>
    <row r="20" spans="2:39" x14ac:dyDescent="0.25">
      <c r="B20" s="19"/>
      <c r="C20" s="32" t="s">
        <v>71</v>
      </c>
      <c r="D20" s="2"/>
      <c r="E20" s="47" t="s">
        <v>58</v>
      </c>
      <c r="F20" s="47" t="s">
        <v>58</v>
      </c>
      <c r="G20" s="47" t="s">
        <v>58</v>
      </c>
      <c r="H20" s="47" t="s">
        <v>58</v>
      </c>
      <c r="I20" s="47" t="s">
        <v>58</v>
      </c>
      <c r="J20" s="47" t="s">
        <v>58</v>
      </c>
      <c r="K20" s="47" t="s">
        <v>58</v>
      </c>
      <c r="L20" s="47" t="s">
        <v>58</v>
      </c>
      <c r="M20" s="2"/>
      <c r="N20" s="52" t="s">
        <v>64</v>
      </c>
      <c r="O20" s="52" t="s">
        <v>64</v>
      </c>
      <c r="P20" s="52" t="s">
        <v>64</v>
      </c>
      <c r="Q20" s="52" t="s">
        <v>64</v>
      </c>
      <c r="R20" s="52" t="s">
        <v>64</v>
      </c>
      <c r="S20" s="2"/>
      <c r="T20" s="52" t="s">
        <v>64</v>
      </c>
      <c r="U20" s="52" t="s">
        <v>64</v>
      </c>
      <c r="V20" s="52" t="s">
        <v>64</v>
      </c>
      <c r="W20" s="52" t="s">
        <v>64</v>
      </c>
      <c r="X20" s="52" t="s">
        <v>64</v>
      </c>
      <c r="Y20" s="52" t="s">
        <v>64</v>
      </c>
      <c r="Z20" s="52" t="s">
        <v>64</v>
      </c>
      <c r="AA20" s="2"/>
      <c r="AB20" s="52" t="s">
        <v>64</v>
      </c>
      <c r="AC20" s="52" t="s">
        <v>64</v>
      </c>
      <c r="AD20" s="52" t="s">
        <v>64</v>
      </c>
      <c r="AE20" s="52" t="s">
        <v>64</v>
      </c>
      <c r="AF20" s="52" t="s">
        <v>64</v>
      </c>
      <c r="AG20" s="52" t="s">
        <v>64</v>
      </c>
      <c r="AH20" s="2"/>
      <c r="AI20" s="65"/>
      <c r="AJ20" s="40" t="s">
        <v>45</v>
      </c>
      <c r="AL20">
        <v>26</v>
      </c>
      <c r="AM20">
        <f>AL20*700</f>
        <v>18200</v>
      </c>
    </row>
    <row r="21" spans="2:39" x14ac:dyDescent="0.25">
      <c r="B21" s="19"/>
      <c r="C21" s="32" t="s">
        <v>67</v>
      </c>
      <c r="D21" s="10">
        <v>7</v>
      </c>
      <c r="E21" s="13">
        <v>12</v>
      </c>
      <c r="F21" s="2"/>
      <c r="G21" s="2"/>
      <c r="H21" s="13">
        <v>12</v>
      </c>
      <c r="I21" s="13">
        <v>12</v>
      </c>
      <c r="J21" s="54" t="s">
        <v>29</v>
      </c>
      <c r="K21" s="13">
        <v>12</v>
      </c>
      <c r="L21" s="13">
        <v>12</v>
      </c>
      <c r="M21" s="13">
        <v>12</v>
      </c>
      <c r="N21" s="2"/>
      <c r="O21" s="13">
        <v>12</v>
      </c>
      <c r="P21" s="54" t="s">
        <v>29</v>
      </c>
      <c r="Q21" s="13">
        <v>12</v>
      </c>
      <c r="R21" s="13">
        <v>12</v>
      </c>
      <c r="S21" s="13">
        <v>12</v>
      </c>
      <c r="T21" s="54" t="s">
        <v>29</v>
      </c>
      <c r="U21" s="2"/>
      <c r="V21" s="2"/>
      <c r="W21" s="13">
        <v>12</v>
      </c>
      <c r="X21" s="10">
        <v>7</v>
      </c>
      <c r="Y21" s="13">
        <v>12</v>
      </c>
      <c r="Z21" s="13">
        <v>12</v>
      </c>
      <c r="AA21" s="13">
        <v>12</v>
      </c>
      <c r="AB21" s="2"/>
      <c r="AC21" s="2"/>
      <c r="AD21" s="10">
        <v>7</v>
      </c>
      <c r="AE21" s="10">
        <v>7</v>
      </c>
      <c r="AF21" s="13">
        <v>12</v>
      </c>
      <c r="AG21" s="13">
        <v>12</v>
      </c>
      <c r="AH21" s="13">
        <v>12</v>
      </c>
      <c r="AI21" s="65"/>
      <c r="AJ21" s="41" t="s">
        <v>51</v>
      </c>
      <c r="AL21">
        <v>14</v>
      </c>
      <c r="AM21">
        <f>AL21*700</f>
        <v>9800</v>
      </c>
    </row>
    <row r="22" spans="2:39" x14ac:dyDescent="0.25">
      <c r="B22" s="19"/>
      <c r="C22" s="32" t="s">
        <v>77</v>
      </c>
      <c r="D22" s="56"/>
      <c r="E22" s="56"/>
      <c r="F22" s="56"/>
      <c r="G22" s="56"/>
      <c r="H22" s="56"/>
      <c r="I22" s="56"/>
      <c r="J22" s="56"/>
      <c r="K22" s="56"/>
      <c r="L22" s="56"/>
      <c r="M22" s="56"/>
      <c r="N22" s="47" t="s">
        <v>58</v>
      </c>
      <c r="O22" s="47" t="s">
        <v>58</v>
      </c>
      <c r="P22" s="47" t="s">
        <v>58</v>
      </c>
      <c r="Q22" s="47" t="s">
        <v>58</v>
      </c>
      <c r="R22" s="47" t="s">
        <v>58</v>
      </c>
      <c r="S22" s="47" t="s">
        <v>58</v>
      </c>
      <c r="T22" s="2"/>
      <c r="U22" s="47" t="s">
        <v>58</v>
      </c>
      <c r="V22" s="47" t="s">
        <v>58</v>
      </c>
      <c r="W22" s="47" t="s">
        <v>58</v>
      </c>
      <c r="X22" s="47" t="s">
        <v>58</v>
      </c>
      <c r="Y22" s="47" t="s">
        <v>58</v>
      </c>
      <c r="Z22" s="47" t="s">
        <v>58</v>
      </c>
      <c r="AA22" s="47" t="s">
        <v>58</v>
      </c>
      <c r="AB22" s="47" t="s">
        <v>58</v>
      </c>
      <c r="AC22" s="3"/>
      <c r="AD22" s="3"/>
      <c r="AE22" s="3"/>
      <c r="AF22" s="3"/>
      <c r="AG22" s="3"/>
      <c r="AH22" s="3"/>
      <c r="AI22" s="60"/>
      <c r="AL22">
        <v>22</v>
      </c>
      <c r="AM22">
        <f>AL22*700</f>
        <v>15400</v>
      </c>
    </row>
    <row r="23" spans="2:39" ht="9" customHeight="1" x14ac:dyDescent="0.25">
      <c r="B23" s="89" t="s">
        <v>14</v>
      </c>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1"/>
      <c r="AI23" s="60"/>
      <c r="AJ23" s="28"/>
      <c r="AK23" s="31"/>
    </row>
    <row r="24" spans="2:39" s="8" customFormat="1" ht="15.95" customHeight="1" x14ac:dyDescent="0.25">
      <c r="B24" s="19"/>
      <c r="C24" s="20" t="s">
        <v>78</v>
      </c>
      <c r="D24" s="3"/>
      <c r="E24" s="3"/>
      <c r="F24" s="3"/>
      <c r="G24" s="3"/>
      <c r="H24" s="3"/>
      <c r="I24" s="3"/>
      <c r="J24" s="3"/>
      <c r="K24" s="3"/>
      <c r="L24" s="3"/>
      <c r="M24" s="14" t="s">
        <v>49</v>
      </c>
      <c r="N24" s="14" t="s">
        <v>49</v>
      </c>
      <c r="O24" s="14" t="s">
        <v>49</v>
      </c>
      <c r="P24" s="14" t="s">
        <v>49</v>
      </c>
      <c r="Q24" s="14" t="s">
        <v>49</v>
      </c>
      <c r="R24" s="14" t="s">
        <v>49</v>
      </c>
      <c r="S24" s="2"/>
      <c r="T24" s="14" t="s">
        <v>49</v>
      </c>
      <c r="U24" s="14" t="s">
        <v>49</v>
      </c>
      <c r="V24" s="14" t="s">
        <v>49</v>
      </c>
      <c r="W24" s="14" t="s">
        <v>49</v>
      </c>
      <c r="X24" s="14" t="s">
        <v>49</v>
      </c>
      <c r="Y24" s="14" t="s">
        <v>49</v>
      </c>
      <c r="Z24" s="14" t="s">
        <v>49</v>
      </c>
      <c r="AA24" s="2"/>
      <c r="AB24" s="2"/>
      <c r="AC24" s="14" t="s">
        <v>49</v>
      </c>
      <c r="AD24" s="14" t="s">
        <v>49</v>
      </c>
      <c r="AE24" s="14" t="s">
        <v>49</v>
      </c>
      <c r="AF24" s="14" t="s">
        <v>49</v>
      </c>
      <c r="AG24" s="14" t="s">
        <v>49</v>
      </c>
      <c r="AH24" s="2"/>
      <c r="AI24" s="60">
        <v>6</v>
      </c>
      <c r="AJ24" s="40" t="s">
        <v>45</v>
      </c>
      <c r="AK24" s="31">
        <v>6</v>
      </c>
      <c r="AM24" s="8">
        <f>SUM(AM7:AM22)</f>
        <v>87150</v>
      </c>
    </row>
    <row r="25" spans="2:39" s="8" customFormat="1" ht="15.95" customHeight="1" x14ac:dyDescent="0.25">
      <c r="B25" s="19"/>
      <c r="C25" s="20" t="s">
        <v>24</v>
      </c>
      <c r="D25" s="13">
        <v>12</v>
      </c>
      <c r="E25" s="13">
        <v>12</v>
      </c>
      <c r="F25" s="13">
        <v>12</v>
      </c>
      <c r="G25" s="13">
        <v>12</v>
      </c>
      <c r="H25" s="2"/>
      <c r="I25" s="10">
        <v>7</v>
      </c>
      <c r="J25" s="13">
        <v>12</v>
      </c>
      <c r="K25" s="13">
        <v>12</v>
      </c>
      <c r="L25" s="13">
        <v>12</v>
      </c>
      <c r="M25" s="13">
        <v>12</v>
      </c>
      <c r="N25" s="13">
        <v>12</v>
      </c>
      <c r="O25" s="2"/>
      <c r="P25" s="13">
        <v>12</v>
      </c>
      <c r="Q25" s="13">
        <v>12</v>
      </c>
      <c r="R25" s="13">
        <v>12</v>
      </c>
      <c r="S25" s="13">
        <v>12</v>
      </c>
      <c r="T25" s="13">
        <v>12</v>
      </c>
      <c r="U25" s="13">
        <v>12</v>
      </c>
      <c r="V25" s="13">
        <v>12</v>
      </c>
      <c r="W25" s="2"/>
      <c r="X25" s="2"/>
      <c r="Y25" s="13">
        <v>12</v>
      </c>
      <c r="Z25" s="13">
        <v>12</v>
      </c>
      <c r="AA25" s="13">
        <v>12</v>
      </c>
      <c r="AB25" s="13">
        <v>12</v>
      </c>
      <c r="AC25" s="2"/>
      <c r="AD25" s="2"/>
      <c r="AE25" s="13">
        <v>12</v>
      </c>
      <c r="AF25" s="13">
        <v>12</v>
      </c>
      <c r="AG25" s="13">
        <v>12</v>
      </c>
      <c r="AH25" s="13">
        <v>12</v>
      </c>
      <c r="AI25" s="60">
        <v>6</v>
      </c>
      <c r="AJ25" s="42" t="s">
        <v>44</v>
      </c>
      <c r="AK25" s="31">
        <v>6</v>
      </c>
      <c r="AM25" s="8">
        <f>SUM(AM8:AM23)</f>
        <v>87150</v>
      </c>
    </row>
    <row r="26" spans="2:39" x14ac:dyDescent="0.25">
      <c r="B26" s="26"/>
      <c r="C26" s="27" t="s">
        <v>25</v>
      </c>
      <c r="D26" s="13">
        <v>12</v>
      </c>
      <c r="E26" s="13">
        <v>12</v>
      </c>
      <c r="F26" s="13">
        <v>12</v>
      </c>
      <c r="G26" s="54" t="s">
        <v>29</v>
      </c>
      <c r="H26" s="13">
        <v>12</v>
      </c>
      <c r="I26" s="13">
        <v>12</v>
      </c>
      <c r="J26" s="2"/>
      <c r="K26" s="13">
        <v>12</v>
      </c>
      <c r="L26" s="13">
        <v>12</v>
      </c>
      <c r="M26" s="13">
        <v>12</v>
      </c>
      <c r="N26" s="13">
        <v>12</v>
      </c>
      <c r="O26" s="13">
        <v>12</v>
      </c>
      <c r="P26" s="54" t="s">
        <v>29</v>
      </c>
      <c r="Q26" s="54" t="s">
        <v>29</v>
      </c>
      <c r="R26" s="2"/>
      <c r="S26" s="13">
        <v>12</v>
      </c>
      <c r="T26" s="54" t="s">
        <v>29</v>
      </c>
      <c r="U26" s="54" t="s">
        <v>29</v>
      </c>
      <c r="V26" s="54" t="s">
        <v>29</v>
      </c>
      <c r="W26" s="13">
        <v>12</v>
      </c>
      <c r="X26" s="13">
        <v>12</v>
      </c>
      <c r="Y26" s="2"/>
      <c r="Z26" s="2"/>
      <c r="AA26" s="54" t="s">
        <v>29</v>
      </c>
      <c r="AB26" s="54" t="s">
        <v>29</v>
      </c>
      <c r="AC26" s="13">
        <v>12</v>
      </c>
      <c r="AD26" s="13">
        <v>12</v>
      </c>
      <c r="AE26" s="9">
        <v>9</v>
      </c>
      <c r="AF26" s="2"/>
      <c r="AG26" s="2"/>
      <c r="AH26" s="9">
        <v>9</v>
      </c>
      <c r="AI26" s="60">
        <v>6</v>
      </c>
      <c r="AJ26" s="44" t="s">
        <v>47</v>
      </c>
      <c r="AK26" s="31">
        <v>6</v>
      </c>
    </row>
    <row r="27" spans="2:39" x14ac:dyDescent="0.25">
      <c r="B27" s="19"/>
      <c r="C27" s="20" t="s">
        <v>18</v>
      </c>
      <c r="D27" s="10">
        <v>7</v>
      </c>
      <c r="E27" s="10">
        <v>7</v>
      </c>
      <c r="F27" s="10">
        <v>7</v>
      </c>
      <c r="G27" s="2"/>
      <c r="H27" s="54" t="s">
        <v>29</v>
      </c>
      <c r="I27" s="54" t="s">
        <v>29</v>
      </c>
      <c r="J27" s="54" t="s">
        <v>29</v>
      </c>
      <c r="K27" s="10">
        <v>7</v>
      </c>
      <c r="L27" s="10">
        <v>7</v>
      </c>
      <c r="M27" s="54" t="s">
        <v>29</v>
      </c>
      <c r="N27" s="54" t="s">
        <v>29</v>
      </c>
      <c r="O27" s="54" t="s">
        <v>29</v>
      </c>
      <c r="P27" s="2"/>
      <c r="Q27" s="10">
        <v>7</v>
      </c>
      <c r="R27" s="54" t="s">
        <v>29</v>
      </c>
      <c r="S27" s="10">
        <v>7</v>
      </c>
      <c r="T27" s="2"/>
      <c r="U27" s="10">
        <v>7</v>
      </c>
      <c r="V27" s="10">
        <v>7</v>
      </c>
      <c r="W27" s="54" t="s">
        <v>29</v>
      </c>
      <c r="X27" s="54" t="s">
        <v>29</v>
      </c>
      <c r="Y27" s="54" t="s">
        <v>29</v>
      </c>
      <c r="Z27" s="54" t="s">
        <v>29</v>
      </c>
      <c r="AA27" s="2"/>
      <c r="AB27" s="2"/>
      <c r="AC27" s="54" t="s">
        <v>29</v>
      </c>
      <c r="AD27" s="10">
        <v>7</v>
      </c>
      <c r="AE27" s="10">
        <v>7</v>
      </c>
      <c r="AF27" s="9">
        <v>9</v>
      </c>
      <c r="AG27" s="9">
        <v>9</v>
      </c>
      <c r="AH27" s="2"/>
      <c r="AI27" s="60">
        <v>6</v>
      </c>
      <c r="AJ27" s="41" t="s">
        <v>79</v>
      </c>
      <c r="AK27" s="4">
        <v>6</v>
      </c>
    </row>
    <row r="28" spans="2:39" x14ac:dyDescent="0.25">
      <c r="B28" s="19"/>
      <c r="C28" s="20" t="s">
        <v>23</v>
      </c>
      <c r="D28" s="10">
        <v>7</v>
      </c>
      <c r="E28" s="10">
        <v>7</v>
      </c>
      <c r="F28" s="10">
        <v>7</v>
      </c>
      <c r="G28" s="10">
        <v>7</v>
      </c>
      <c r="H28" s="10">
        <v>7</v>
      </c>
      <c r="I28" s="2"/>
      <c r="J28" s="10">
        <v>7</v>
      </c>
      <c r="K28" s="10">
        <v>7</v>
      </c>
      <c r="L28" s="10">
        <v>7</v>
      </c>
      <c r="M28" s="10">
        <v>7</v>
      </c>
      <c r="N28" s="10">
        <v>7</v>
      </c>
      <c r="O28" s="10">
        <v>7</v>
      </c>
      <c r="P28" s="10">
        <v>7</v>
      </c>
      <c r="Q28" s="2"/>
      <c r="R28" s="10">
        <v>7</v>
      </c>
      <c r="S28" s="10">
        <v>7</v>
      </c>
      <c r="T28" s="10">
        <v>7</v>
      </c>
      <c r="U28" s="2"/>
      <c r="V28" s="2"/>
      <c r="W28" s="10">
        <v>7</v>
      </c>
      <c r="X28" s="10">
        <v>7</v>
      </c>
      <c r="Y28" s="10">
        <v>7</v>
      </c>
      <c r="Z28" s="10">
        <v>7</v>
      </c>
      <c r="AA28" s="10">
        <v>7</v>
      </c>
      <c r="AB28" s="10">
        <v>7</v>
      </c>
      <c r="AC28" s="10">
        <v>7</v>
      </c>
      <c r="AD28" s="2"/>
      <c r="AE28" s="2"/>
      <c r="AF28" s="10">
        <v>7</v>
      </c>
      <c r="AG28" s="10">
        <v>7</v>
      </c>
      <c r="AH28" s="10">
        <v>7</v>
      </c>
      <c r="AI28" s="60">
        <v>6</v>
      </c>
      <c r="AJ28" s="43" t="s">
        <v>48</v>
      </c>
      <c r="AK28" s="30">
        <v>6</v>
      </c>
    </row>
    <row r="29" spans="2:39" ht="9" customHeight="1" x14ac:dyDescent="0.25">
      <c r="N29"/>
      <c r="AI29" s="60"/>
      <c r="AJ29" s="28"/>
    </row>
    <row r="30" spans="2:39" x14ac:dyDescent="0.25">
      <c r="B30" s="81" t="s">
        <v>54</v>
      </c>
      <c r="C30" s="81"/>
      <c r="D30" s="1">
        <v>8</v>
      </c>
      <c r="E30" s="1">
        <v>7</v>
      </c>
      <c r="F30" s="1">
        <v>6</v>
      </c>
      <c r="G30" s="1">
        <v>7</v>
      </c>
      <c r="H30" s="66">
        <v>11</v>
      </c>
      <c r="I30" s="66">
        <v>13</v>
      </c>
      <c r="J30" s="66">
        <v>13</v>
      </c>
      <c r="K30" s="66">
        <v>13</v>
      </c>
      <c r="L30" s="66">
        <v>14</v>
      </c>
      <c r="M30" s="66">
        <v>18</v>
      </c>
      <c r="N30" s="66">
        <v>17</v>
      </c>
      <c r="O30" s="66">
        <v>14</v>
      </c>
      <c r="P30" s="66">
        <v>13</v>
      </c>
      <c r="Q30" s="66">
        <v>15</v>
      </c>
      <c r="R30" s="66">
        <v>12</v>
      </c>
      <c r="S30" s="66">
        <v>11</v>
      </c>
      <c r="T30" s="66">
        <v>11</v>
      </c>
      <c r="U30" s="66">
        <v>9</v>
      </c>
      <c r="V30" s="66">
        <v>8</v>
      </c>
      <c r="W30" s="66">
        <v>8</v>
      </c>
      <c r="X30" s="1">
        <v>7</v>
      </c>
      <c r="Y30" s="1">
        <v>8</v>
      </c>
      <c r="Z30" s="1">
        <v>12</v>
      </c>
      <c r="AA30" s="1">
        <v>11</v>
      </c>
      <c r="AB30" s="1">
        <v>9</v>
      </c>
      <c r="AC30" s="1">
        <v>6</v>
      </c>
      <c r="AD30" s="1">
        <v>6</v>
      </c>
      <c r="AE30" s="1">
        <v>2</v>
      </c>
      <c r="AF30" s="1">
        <v>1</v>
      </c>
      <c r="AG30" s="1">
        <v>1</v>
      </c>
      <c r="AH30" s="1">
        <v>1</v>
      </c>
      <c r="AI30" s="60"/>
    </row>
    <row r="31" spans="2:39" x14ac:dyDescent="0.25">
      <c r="B31" s="81" t="s">
        <v>30</v>
      </c>
      <c r="C31" s="81"/>
      <c r="D31" s="1">
        <v>18</v>
      </c>
      <c r="E31" s="1">
        <v>18</v>
      </c>
      <c r="F31" s="1">
        <v>18</v>
      </c>
      <c r="G31" s="1">
        <v>18</v>
      </c>
      <c r="H31" s="1">
        <v>18</v>
      </c>
      <c r="I31" s="1">
        <v>18</v>
      </c>
      <c r="J31" s="1">
        <v>18</v>
      </c>
      <c r="K31" s="1">
        <v>18</v>
      </c>
      <c r="L31" s="1">
        <v>18</v>
      </c>
      <c r="M31" s="1">
        <v>18</v>
      </c>
      <c r="N31" s="1">
        <v>18</v>
      </c>
      <c r="O31" s="1">
        <v>18</v>
      </c>
      <c r="P31" s="1">
        <v>18</v>
      </c>
      <c r="Q31" s="1">
        <v>18</v>
      </c>
      <c r="R31" s="1">
        <v>18</v>
      </c>
      <c r="S31" s="1">
        <v>17</v>
      </c>
      <c r="T31" s="1">
        <v>17</v>
      </c>
      <c r="U31" s="1">
        <v>17</v>
      </c>
      <c r="V31" s="1">
        <v>17</v>
      </c>
      <c r="W31" s="1">
        <v>17</v>
      </c>
      <c r="X31" s="1">
        <v>17</v>
      </c>
      <c r="Y31" s="1">
        <v>17</v>
      </c>
      <c r="Z31" s="1">
        <v>17</v>
      </c>
      <c r="AA31" s="1">
        <v>17</v>
      </c>
      <c r="AB31" s="1">
        <v>17</v>
      </c>
      <c r="AC31" s="1">
        <v>17</v>
      </c>
      <c r="AD31" s="1">
        <v>17</v>
      </c>
      <c r="AE31" s="1">
        <v>17</v>
      </c>
      <c r="AF31" s="1">
        <v>17</v>
      </c>
      <c r="AG31" s="1">
        <v>17</v>
      </c>
      <c r="AH31" s="1">
        <v>17</v>
      </c>
    </row>
    <row r="32" spans="2:39" x14ac:dyDescent="0.25">
      <c r="B32" s="81" t="s">
        <v>31</v>
      </c>
      <c r="C32" s="81"/>
      <c r="D32" s="1">
        <v>3</v>
      </c>
      <c r="E32" s="1">
        <v>5</v>
      </c>
      <c r="F32" s="1">
        <v>2</v>
      </c>
      <c r="G32" s="1">
        <v>5</v>
      </c>
      <c r="H32" s="1">
        <v>2</v>
      </c>
      <c r="I32" s="1">
        <v>2</v>
      </c>
      <c r="J32" s="1">
        <v>4</v>
      </c>
      <c r="K32" s="1">
        <v>1</v>
      </c>
      <c r="L32" s="1">
        <v>1</v>
      </c>
      <c r="M32" s="1">
        <v>1</v>
      </c>
      <c r="N32" s="1">
        <v>2</v>
      </c>
      <c r="O32" s="1">
        <v>2</v>
      </c>
      <c r="P32" s="1">
        <v>2</v>
      </c>
      <c r="Q32" s="1">
        <v>2</v>
      </c>
      <c r="R32" s="1">
        <v>3</v>
      </c>
      <c r="S32" s="1">
        <v>2</v>
      </c>
      <c r="T32" s="1">
        <v>4</v>
      </c>
      <c r="U32" s="1">
        <v>5</v>
      </c>
      <c r="V32" s="1">
        <v>6</v>
      </c>
      <c r="W32" s="1">
        <v>4</v>
      </c>
      <c r="X32" s="1">
        <v>4</v>
      </c>
      <c r="Y32" s="1">
        <v>5</v>
      </c>
      <c r="Z32" s="1">
        <v>4</v>
      </c>
      <c r="AA32" s="1">
        <v>2</v>
      </c>
      <c r="AB32" s="1">
        <v>6</v>
      </c>
      <c r="AC32" s="1">
        <v>4</v>
      </c>
      <c r="AD32" s="1">
        <v>5</v>
      </c>
      <c r="AE32" s="1">
        <v>4</v>
      </c>
      <c r="AF32" s="1">
        <v>6</v>
      </c>
      <c r="AG32" s="1">
        <v>5</v>
      </c>
      <c r="AH32" s="1">
        <v>5</v>
      </c>
    </row>
    <row r="33" spans="2:34" x14ac:dyDescent="0.25">
      <c r="B33" s="81" t="s">
        <v>32</v>
      </c>
      <c r="C33" s="81"/>
      <c r="D33" s="1">
        <v>0</v>
      </c>
      <c r="E33" s="1">
        <v>0</v>
      </c>
      <c r="F33" s="1">
        <v>0</v>
      </c>
      <c r="G33" s="1">
        <v>0</v>
      </c>
      <c r="H33" s="1">
        <v>1</v>
      </c>
      <c r="I33" s="1">
        <v>1</v>
      </c>
      <c r="J33" s="1">
        <v>1</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c r="AD33" s="1">
        <v>0</v>
      </c>
      <c r="AE33" s="1">
        <v>0</v>
      </c>
      <c r="AF33" s="1">
        <v>0</v>
      </c>
      <c r="AG33" s="1">
        <v>0</v>
      </c>
      <c r="AH33" s="1">
        <v>0</v>
      </c>
    </row>
    <row r="34" spans="2:34" x14ac:dyDescent="0.25">
      <c r="B34" s="80" t="s">
        <v>33</v>
      </c>
      <c r="C34" s="80"/>
      <c r="D34" s="5">
        <f>D31-D32-D33</f>
        <v>15</v>
      </c>
      <c r="E34" s="5">
        <f>E31-E32-E33</f>
        <v>13</v>
      </c>
      <c r="F34" s="5">
        <f>F31-F32-F33</f>
        <v>16</v>
      </c>
      <c r="G34" s="5">
        <f>G31-G32-G33</f>
        <v>13</v>
      </c>
      <c r="H34" s="5">
        <f>H31-H32-H33</f>
        <v>15</v>
      </c>
      <c r="I34" s="5">
        <f t="shared" ref="I34:O34" si="0">I31-I32-I33</f>
        <v>15</v>
      </c>
      <c r="J34" s="5">
        <f t="shared" si="0"/>
        <v>13</v>
      </c>
      <c r="K34" s="5">
        <f t="shared" si="0"/>
        <v>17</v>
      </c>
      <c r="L34" s="5">
        <f t="shared" si="0"/>
        <v>17</v>
      </c>
      <c r="M34" s="5">
        <f t="shared" si="0"/>
        <v>17</v>
      </c>
      <c r="N34" s="5">
        <f t="shared" si="0"/>
        <v>16</v>
      </c>
      <c r="O34" s="5">
        <f t="shared" si="0"/>
        <v>16</v>
      </c>
      <c r="P34" s="5">
        <f>P31-P32-P33</f>
        <v>16</v>
      </c>
      <c r="Q34" s="5">
        <f t="shared" ref="Q34:AH34" si="1">Q31-Q32-Q33</f>
        <v>16</v>
      </c>
      <c r="R34" s="5">
        <f t="shared" si="1"/>
        <v>15</v>
      </c>
      <c r="S34" s="5">
        <f t="shared" si="1"/>
        <v>15</v>
      </c>
      <c r="T34" s="5">
        <f t="shared" si="1"/>
        <v>13</v>
      </c>
      <c r="U34" s="5">
        <f t="shared" si="1"/>
        <v>12</v>
      </c>
      <c r="V34" s="5">
        <f t="shared" si="1"/>
        <v>11</v>
      </c>
      <c r="W34" s="5">
        <f t="shared" si="1"/>
        <v>13</v>
      </c>
      <c r="X34" s="5">
        <f t="shared" si="1"/>
        <v>13</v>
      </c>
      <c r="Y34" s="5">
        <f t="shared" si="1"/>
        <v>12</v>
      </c>
      <c r="Z34" s="5">
        <f t="shared" si="1"/>
        <v>13</v>
      </c>
      <c r="AA34" s="5">
        <f t="shared" si="1"/>
        <v>15</v>
      </c>
      <c r="AB34" s="5">
        <f t="shared" si="1"/>
        <v>11</v>
      </c>
      <c r="AC34" s="5">
        <f t="shared" si="1"/>
        <v>13</v>
      </c>
      <c r="AD34" s="5">
        <f t="shared" si="1"/>
        <v>12</v>
      </c>
      <c r="AE34" s="5">
        <f t="shared" si="1"/>
        <v>13</v>
      </c>
      <c r="AF34" s="5">
        <f t="shared" si="1"/>
        <v>11</v>
      </c>
      <c r="AG34" s="5">
        <f t="shared" si="1"/>
        <v>12</v>
      </c>
      <c r="AH34" s="5">
        <f t="shared" si="1"/>
        <v>12</v>
      </c>
    </row>
    <row r="37" spans="2:34" ht="15.75" customHeight="1" x14ac:dyDescent="0.25">
      <c r="S37" s="83" t="s">
        <v>35</v>
      </c>
      <c r="T37" s="84"/>
      <c r="U37" s="84"/>
      <c r="V37" s="85"/>
      <c r="W37" s="77" t="s">
        <v>68</v>
      </c>
      <c r="X37" s="78"/>
      <c r="Y37" s="78"/>
      <c r="Z37" s="78"/>
      <c r="AA37" s="78"/>
      <c r="AB37" s="78"/>
      <c r="AC37" s="78"/>
      <c r="AD37" s="78"/>
      <c r="AE37" s="78"/>
      <c r="AF37" s="78"/>
      <c r="AG37" s="78"/>
      <c r="AH37" s="79"/>
    </row>
    <row r="38" spans="2:34" ht="15.95" customHeight="1" x14ac:dyDescent="0.25">
      <c r="D38" s="10">
        <v>7</v>
      </c>
      <c r="E38" s="75" t="s">
        <v>37</v>
      </c>
      <c r="F38" s="76"/>
      <c r="G38" s="76"/>
      <c r="H38" s="76"/>
      <c r="I38" s="76"/>
      <c r="J38" s="76"/>
      <c r="L38" s="48">
        <v>8</v>
      </c>
      <c r="M38" s="75" t="s">
        <v>62</v>
      </c>
      <c r="N38" s="76"/>
      <c r="O38" s="76"/>
      <c r="P38" s="76"/>
      <c r="Q38" s="76"/>
      <c r="R38" s="82"/>
      <c r="S38" s="75"/>
      <c r="T38" s="76"/>
      <c r="U38" s="76"/>
      <c r="V38" s="82"/>
      <c r="W38" s="97" t="s">
        <v>76</v>
      </c>
      <c r="X38" s="98"/>
      <c r="Y38" s="98"/>
      <c r="Z38" s="98"/>
      <c r="AA38" s="98"/>
      <c r="AB38" s="98"/>
      <c r="AC38" s="98"/>
      <c r="AD38" s="98"/>
      <c r="AE38" s="98"/>
      <c r="AF38" s="98"/>
      <c r="AG38" s="98"/>
      <c r="AH38" s="99"/>
    </row>
    <row r="39" spans="2:34" x14ac:dyDescent="0.25">
      <c r="D39" s="9">
        <v>9</v>
      </c>
      <c r="E39" s="75" t="s">
        <v>53</v>
      </c>
      <c r="F39" s="76"/>
      <c r="G39" s="76"/>
      <c r="H39" s="76"/>
      <c r="I39" s="76"/>
      <c r="J39" s="76"/>
      <c r="L39" s="5">
        <v>9</v>
      </c>
      <c r="M39" s="75" t="s">
        <v>40</v>
      </c>
      <c r="N39" s="76"/>
      <c r="O39" s="76"/>
      <c r="P39" s="76"/>
      <c r="Q39" s="76"/>
      <c r="R39" s="76"/>
      <c r="S39" s="75"/>
      <c r="T39" s="76"/>
      <c r="U39" s="76"/>
      <c r="V39" s="82"/>
      <c r="W39" s="100"/>
      <c r="X39" s="101"/>
      <c r="Y39" s="101"/>
      <c r="Z39" s="101"/>
      <c r="AA39" s="101"/>
      <c r="AB39" s="101"/>
      <c r="AC39" s="101"/>
      <c r="AD39" s="101"/>
      <c r="AE39" s="101"/>
      <c r="AF39" s="101"/>
      <c r="AG39" s="101"/>
      <c r="AH39" s="102"/>
    </row>
    <row r="40" spans="2:34" x14ac:dyDescent="0.25">
      <c r="D40" s="13">
        <v>12</v>
      </c>
      <c r="E40" s="75" t="s">
        <v>38</v>
      </c>
      <c r="F40" s="76"/>
      <c r="G40" s="76"/>
      <c r="H40" s="76"/>
      <c r="I40" s="76"/>
      <c r="J40" s="76"/>
      <c r="L40" s="17">
        <v>11</v>
      </c>
      <c r="M40" s="75" t="s">
        <v>41</v>
      </c>
      <c r="N40" s="76"/>
      <c r="O40" s="76"/>
      <c r="P40" s="76"/>
      <c r="Q40" s="76"/>
      <c r="R40" s="82"/>
      <c r="S40" s="75"/>
      <c r="T40" s="76"/>
      <c r="U40" s="76"/>
      <c r="V40" s="82"/>
      <c r="W40" s="100"/>
      <c r="X40" s="101"/>
      <c r="Y40" s="101"/>
      <c r="Z40" s="101"/>
      <c r="AA40" s="101"/>
      <c r="AB40" s="101"/>
      <c r="AC40" s="101"/>
      <c r="AD40" s="101"/>
      <c r="AE40" s="101"/>
      <c r="AF40" s="101"/>
      <c r="AG40" s="101"/>
      <c r="AH40" s="102"/>
    </row>
    <row r="41" spans="2:34" x14ac:dyDescent="0.25">
      <c r="D41" s="6">
        <v>8.3000000000000007</v>
      </c>
      <c r="E41" s="75" t="s">
        <v>42</v>
      </c>
      <c r="F41" s="76"/>
      <c r="G41" s="76"/>
      <c r="H41" s="76"/>
      <c r="I41" s="76"/>
      <c r="J41" s="76"/>
      <c r="L41" s="53" t="s">
        <v>28</v>
      </c>
      <c r="M41" s="75" t="s">
        <v>50</v>
      </c>
      <c r="N41" s="76"/>
      <c r="O41" s="76"/>
      <c r="P41" s="76"/>
      <c r="Q41" s="76"/>
      <c r="R41" s="82"/>
      <c r="S41" s="75"/>
      <c r="T41" s="76"/>
      <c r="U41" s="76"/>
      <c r="V41" s="82"/>
      <c r="W41" s="103"/>
      <c r="X41" s="104"/>
      <c r="Y41" s="104"/>
      <c r="Z41" s="104"/>
      <c r="AA41" s="104"/>
      <c r="AB41" s="104"/>
      <c r="AC41" s="104"/>
      <c r="AD41" s="104"/>
      <c r="AE41" s="104"/>
      <c r="AF41" s="104"/>
      <c r="AG41" s="104"/>
      <c r="AH41" s="105"/>
    </row>
    <row r="42" spans="2:34" x14ac:dyDescent="0.25">
      <c r="D42" s="14" t="s">
        <v>49</v>
      </c>
      <c r="E42" s="75" t="s">
        <v>52</v>
      </c>
      <c r="F42" s="76"/>
      <c r="G42" s="76"/>
      <c r="H42" s="76"/>
      <c r="I42" s="76"/>
      <c r="J42" s="76"/>
      <c r="L42" s="54" t="s">
        <v>29</v>
      </c>
      <c r="M42" s="75" t="s">
        <v>69</v>
      </c>
      <c r="N42" s="76"/>
      <c r="O42" s="76"/>
      <c r="P42" s="76"/>
      <c r="Q42" s="76"/>
      <c r="R42" s="82"/>
      <c r="S42" s="86"/>
      <c r="T42" s="87"/>
      <c r="U42" s="87"/>
      <c r="V42" s="88"/>
      <c r="W42" s="77"/>
      <c r="X42" s="78"/>
      <c r="Y42" s="78"/>
      <c r="Z42" s="78"/>
      <c r="AA42" s="78"/>
      <c r="AB42" s="78"/>
      <c r="AC42" s="78"/>
      <c r="AD42" s="78"/>
      <c r="AE42" s="78"/>
      <c r="AF42" s="78"/>
      <c r="AG42" s="78"/>
      <c r="AH42" s="79"/>
    </row>
    <row r="44" spans="2:34" x14ac:dyDescent="0.25">
      <c r="D44" s="47" t="s">
        <v>58</v>
      </c>
      <c r="E44" s="75" t="s">
        <v>60</v>
      </c>
      <c r="F44" s="76"/>
      <c r="G44" s="76"/>
      <c r="H44" s="76"/>
      <c r="I44" s="76"/>
      <c r="J44" s="76"/>
      <c r="L44" s="35" t="s">
        <v>59</v>
      </c>
      <c r="M44" s="75" t="s">
        <v>56</v>
      </c>
      <c r="N44" s="76"/>
      <c r="O44" s="76"/>
      <c r="P44" s="76"/>
      <c r="Q44" s="76"/>
      <c r="R44" s="76"/>
    </row>
    <row r="45" spans="2:34" x14ac:dyDescent="0.25">
      <c r="D45" s="52" t="s">
        <v>64</v>
      </c>
      <c r="E45" s="75" t="s">
        <v>65</v>
      </c>
      <c r="F45" s="76"/>
      <c r="G45" s="76"/>
      <c r="H45" s="76"/>
      <c r="I45" s="76"/>
      <c r="J45" s="76"/>
      <c r="K45" s="51"/>
    </row>
  </sheetData>
  <mergeCells count="30">
    <mergeCell ref="E45:J45"/>
    <mergeCell ref="E41:J41"/>
    <mergeCell ref="M41:R41"/>
    <mergeCell ref="E42:J42"/>
    <mergeCell ref="M42:R42"/>
    <mergeCell ref="W42:AH42"/>
    <mergeCell ref="E44:J44"/>
    <mergeCell ref="M44:R44"/>
    <mergeCell ref="B34:C34"/>
    <mergeCell ref="S37:V42"/>
    <mergeCell ref="W37:AH37"/>
    <mergeCell ref="E38:J38"/>
    <mergeCell ref="M38:R38"/>
    <mergeCell ref="W38:AH41"/>
    <mergeCell ref="E39:J39"/>
    <mergeCell ref="M39:R39"/>
    <mergeCell ref="E40:J40"/>
    <mergeCell ref="M40:R40"/>
    <mergeCell ref="B33:C33"/>
    <mergeCell ref="B1:AH1"/>
    <mergeCell ref="B2:C3"/>
    <mergeCell ref="B4:AH4"/>
    <mergeCell ref="B6:AH6"/>
    <mergeCell ref="D9:AH9"/>
    <mergeCell ref="B12:AH12"/>
    <mergeCell ref="B17:AH17"/>
    <mergeCell ref="B23:AH23"/>
    <mergeCell ref="B30:C30"/>
    <mergeCell ref="B31:C31"/>
    <mergeCell ref="B32:C32"/>
  </mergeCells>
  <phoneticPr fontId="3" type="noConversion"/>
  <pageMargins left="0.143700787" right="0" top="0.35433070866141703" bottom="0.35433070866141703" header="0.31496062992126" footer="0.31496062992126"/>
  <pageSetup scale="80" orientation="landscape" horizontalDpi="1200" verticalDpi="1200" r:id="rId1"/>
  <colBreaks count="1" manualBreakCount="1">
    <brk id="34"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8AC17-34B3-47EA-AF60-E8D191AFE3BE}">
  <dimension ref="B1:AK44"/>
  <sheetViews>
    <sheetView showGridLines="0" tabSelected="1" zoomScaleNormal="100" zoomScaleSheetLayoutView="100" workbookViewId="0">
      <selection activeCell="M11" sqref="M11"/>
    </sheetView>
  </sheetViews>
  <sheetFormatPr defaultColWidth="11" defaultRowHeight="15.75" x14ac:dyDescent="0.25"/>
  <cols>
    <col min="1" max="1" width="1.5" customWidth="1"/>
    <col min="2" max="2" width="2.5" customWidth="1"/>
    <col min="4" max="33" width="4.5" style="67" customWidth="1"/>
    <col min="34" max="34" width="5.375" customWidth="1"/>
  </cols>
  <sheetData>
    <row r="1" spans="2:37" ht="18.75" x14ac:dyDescent="0.3">
      <c r="B1" s="92" t="s">
        <v>82</v>
      </c>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row>
    <row r="2" spans="2:37" x14ac:dyDescent="0.25">
      <c r="B2" s="96"/>
      <c r="C2" s="96"/>
      <c r="D2" s="2" t="s">
        <v>3</v>
      </c>
      <c r="E2" s="2" t="s">
        <v>1</v>
      </c>
      <c r="F2" s="2" t="s">
        <v>5</v>
      </c>
      <c r="G2" s="2" t="s">
        <v>8</v>
      </c>
      <c r="H2" s="6" t="s">
        <v>4</v>
      </c>
      <c r="I2" s="6" t="s">
        <v>9</v>
      </c>
      <c r="J2" s="2" t="s">
        <v>7</v>
      </c>
      <c r="K2" s="2" t="s">
        <v>3</v>
      </c>
      <c r="L2" s="2" t="s">
        <v>1</v>
      </c>
      <c r="M2" s="2" t="s">
        <v>5</v>
      </c>
      <c r="N2" s="2" t="s">
        <v>8</v>
      </c>
      <c r="O2" s="6" t="s">
        <v>4</v>
      </c>
      <c r="P2" s="6" t="s">
        <v>9</v>
      </c>
      <c r="Q2" s="2" t="s">
        <v>7</v>
      </c>
      <c r="R2" s="2" t="s">
        <v>3</v>
      </c>
      <c r="S2" s="2" t="s">
        <v>1</v>
      </c>
      <c r="T2" s="2" t="s">
        <v>5</v>
      </c>
      <c r="U2" s="2" t="s">
        <v>8</v>
      </c>
      <c r="V2" s="6" t="s">
        <v>4</v>
      </c>
      <c r="W2" s="6" t="s">
        <v>9</v>
      </c>
      <c r="X2" s="2" t="s">
        <v>7</v>
      </c>
      <c r="Y2" s="2" t="s">
        <v>3</v>
      </c>
      <c r="Z2" s="2" t="s">
        <v>1</v>
      </c>
      <c r="AA2" s="2" t="s">
        <v>5</v>
      </c>
      <c r="AB2" s="2" t="s">
        <v>8</v>
      </c>
      <c r="AC2" s="6" t="s">
        <v>4</v>
      </c>
      <c r="AD2" s="6" t="s">
        <v>9</v>
      </c>
      <c r="AE2" s="2" t="s">
        <v>7</v>
      </c>
      <c r="AF2" s="2" t="s">
        <v>3</v>
      </c>
      <c r="AG2" s="2" t="s">
        <v>1</v>
      </c>
    </row>
    <row r="3" spans="2:37" x14ac:dyDescent="0.25">
      <c r="B3" s="96"/>
      <c r="C3" s="96"/>
      <c r="D3" s="5">
        <v>1</v>
      </c>
      <c r="E3" s="5">
        <v>2</v>
      </c>
      <c r="F3" s="5">
        <v>3</v>
      </c>
      <c r="G3" s="5">
        <v>4</v>
      </c>
      <c r="H3" s="5">
        <v>5</v>
      </c>
      <c r="I3" s="5">
        <v>6</v>
      </c>
      <c r="J3" s="5">
        <v>7</v>
      </c>
      <c r="K3" s="5">
        <v>8</v>
      </c>
      <c r="L3" s="5">
        <v>9</v>
      </c>
      <c r="M3" s="5">
        <v>10</v>
      </c>
      <c r="N3" s="5">
        <v>11</v>
      </c>
      <c r="O3" s="5">
        <v>12</v>
      </c>
      <c r="P3" s="5">
        <v>13</v>
      </c>
      <c r="Q3" s="5">
        <v>14</v>
      </c>
      <c r="R3" s="5">
        <v>15</v>
      </c>
      <c r="S3" s="5">
        <v>16</v>
      </c>
      <c r="T3" s="5">
        <v>17</v>
      </c>
      <c r="U3" s="5">
        <v>18</v>
      </c>
      <c r="V3" s="5">
        <v>19</v>
      </c>
      <c r="W3" s="5">
        <v>20</v>
      </c>
      <c r="X3" s="6">
        <v>21</v>
      </c>
      <c r="Y3" s="6">
        <v>22</v>
      </c>
      <c r="Z3" s="6">
        <v>23</v>
      </c>
      <c r="AA3" s="5">
        <v>24</v>
      </c>
      <c r="AB3" s="5">
        <v>25</v>
      </c>
      <c r="AC3" s="5">
        <v>26</v>
      </c>
      <c r="AD3" s="5">
        <v>27</v>
      </c>
      <c r="AE3" s="5">
        <v>28</v>
      </c>
      <c r="AF3" s="5">
        <v>29</v>
      </c>
      <c r="AG3" s="5">
        <v>30</v>
      </c>
    </row>
    <row r="4" spans="2:37" s="8" customFormat="1" ht="8.1" customHeight="1" x14ac:dyDescent="0.2">
      <c r="B4" s="95" t="s">
        <v>10</v>
      </c>
      <c r="C4" s="95"/>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c r="AF4" s="94"/>
      <c r="AG4" s="94"/>
    </row>
    <row r="5" spans="2:37" x14ac:dyDescent="0.25">
      <c r="B5" s="26"/>
      <c r="C5" s="20" t="s">
        <v>16</v>
      </c>
      <c r="D5" s="10">
        <v>7</v>
      </c>
      <c r="E5" s="10">
        <v>7</v>
      </c>
      <c r="F5" s="10">
        <v>7</v>
      </c>
      <c r="G5" s="10">
        <v>7</v>
      </c>
      <c r="H5" s="10">
        <v>7</v>
      </c>
      <c r="I5" s="2"/>
      <c r="J5" s="53" t="s">
        <v>28</v>
      </c>
      <c r="K5" s="53" t="s">
        <v>28</v>
      </c>
      <c r="L5" s="10">
        <v>7</v>
      </c>
      <c r="M5" s="10">
        <v>7</v>
      </c>
      <c r="N5" s="10">
        <v>7</v>
      </c>
      <c r="O5" s="2"/>
      <c r="P5" s="2"/>
      <c r="Q5" s="10">
        <v>7</v>
      </c>
      <c r="R5" s="10">
        <v>7</v>
      </c>
      <c r="S5" s="10">
        <v>7</v>
      </c>
      <c r="T5" s="10">
        <v>7</v>
      </c>
      <c r="U5" s="10">
        <v>7</v>
      </c>
      <c r="V5" s="2"/>
      <c r="W5" s="2"/>
      <c r="X5" s="53" t="s">
        <v>28</v>
      </c>
      <c r="Y5" s="53" t="s">
        <v>28</v>
      </c>
      <c r="Z5" s="10">
        <v>7</v>
      </c>
      <c r="AA5" s="10">
        <v>7</v>
      </c>
      <c r="AB5" s="10">
        <v>7</v>
      </c>
      <c r="AC5" s="2"/>
      <c r="AD5" s="10">
        <v>7</v>
      </c>
      <c r="AE5" s="10">
        <v>7</v>
      </c>
      <c r="AF5" s="10">
        <v>7</v>
      </c>
      <c r="AG5" s="10">
        <v>7</v>
      </c>
      <c r="AH5" s="70">
        <v>6</v>
      </c>
      <c r="AI5" s="45" t="s">
        <v>46</v>
      </c>
    </row>
    <row r="6" spans="2:37" x14ac:dyDescent="0.25">
      <c r="B6" s="19"/>
      <c r="C6" s="20" t="s">
        <v>80</v>
      </c>
      <c r="D6" s="53" t="s">
        <v>28</v>
      </c>
      <c r="E6" s="53" t="s">
        <v>28</v>
      </c>
      <c r="F6" s="53" t="s">
        <v>28</v>
      </c>
      <c r="G6" s="2"/>
      <c r="H6" s="2"/>
      <c r="I6" s="2"/>
      <c r="J6" s="14" t="s">
        <v>49</v>
      </c>
      <c r="K6" s="14" t="s">
        <v>49</v>
      </c>
      <c r="L6" s="14" t="s">
        <v>49</v>
      </c>
      <c r="M6" s="14" t="s">
        <v>49</v>
      </c>
      <c r="N6" s="14" t="s">
        <v>49</v>
      </c>
      <c r="O6" s="14" t="s">
        <v>49</v>
      </c>
      <c r="P6" s="2"/>
      <c r="Q6" s="14" t="s">
        <v>49</v>
      </c>
      <c r="R6" s="14" t="s">
        <v>49</v>
      </c>
      <c r="S6" s="14" t="s">
        <v>49</v>
      </c>
      <c r="T6" s="14" t="s">
        <v>49</v>
      </c>
      <c r="U6" s="14" t="s">
        <v>49</v>
      </c>
      <c r="V6" s="14" t="s">
        <v>49</v>
      </c>
      <c r="W6" s="2"/>
      <c r="X6" s="14" t="s">
        <v>49</v>
      </c>
      <c r="Y6" s="14" t="s">
        <v>49</v>
      </c>
      <c r="Z6" s="14" t="s">
        <v>49</v>
      </c>
      <c r="AA6" s="14" t="s">
        <v>49</v>
      </c>
      <c r="AB6" s="14" t="s">
        <v>49</v>
      </c>
      <c r="AC6" s="14" t="s">
        <v>49</v>
      </c>
      <c r="AD6" s="2"/>
      <c r="AE6" s="14" t="s">
        <v>49</v>
      </c>
      <c r="AF6" s="14" t="s">
        <v>49</v>
      </c>
      <c r="AG6" s="14" t="s">
        <v>49</v>
      </c>
      <c r="AH6" s="71">
        <v>6</v>
      </c>
      <c r="AI6" s="39" t="s">
        <v>43</v>
      </c>
    </row>
    <row r="7" spans="2:37" s="8" customFormat="1" ht="8.1" customHeight="1" x14ac:dyDescent="0.25">
      <c r="B7" s="93" t="s">
        <v>11</v>
      </c>
      <c r="C7" s="93"/>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72"/>
      <c r="AI7" s="28"/>
    </row>
    <row r="8" spans="2:37" x14ac:dyDescent="0.25">
      <c r="B8" s="37"/>
      <c r="C8" s="38" t="s">
        <v>17</v>
      </c>
      <c r="D8" s="53" t="s">
        <v>28</v>
      </c>
      <c r="E8" s="14" t="s">
        <v>49</v>
      </c>
      <c r="F8" s="14" t="s">
        <v>49</v>
      </c>
      <c r="G8" s="14" t="s">
        <v>49</v>
      </c>
      <c r="H8" s="2"/>
      <c r="I8" s="14" t="s">
        <v>49</v>
      </c>
      <c r="J8" s="53" t="s">
        <v>28</v>
      </c>
      <c r="K8" s="2"/>
      <c r="L8" s="2"/>
      <c r="M8" s="53" t="s">
        <v>28</v>
      </c>
      <c r="N8" s="53" t="s">
        <v>28</v>
      </c>
      <c r="O8" s="53" t="s">
        <v>28</v>
      </c>
      <c r="P8" s="53" t="s">
        <v>28</v>
      </c>
      <c r="Q8" s="53" t="s">
        <v>28</v>
      </c>
      <c r="R8" s="53" t="s">
        <v>28</v>
      </c>
      <c r="S8" s="53" t="s">
        <v>28</v>
      </c>
      <c r="T8" s="2"/>
      <c r="U8" s="14" t="s">
        <v>49</v>
      </c>
      <c r="V8" s="14" t="s">
        <v>49</v>
      </c>
      <c r="W8" s="14" t="s">
        <v>49</v>
      </c>
      <c r="X8" s="14" t="s">
        <v>49</v>
      </c>
      <c r="Y8" s="14" t="s">
        <v>49</v>
      </c>
      <c r="Z8" s="2"/>
      <c r="AA8" s="14" t="s">
        <v>49</v>
      </c>
      <c r="AB8" s="14" t="s">
        <v>49</v>
      </c>
      <c r="AC8" s="14" t="s">
        <v>49</v>
      </c>
      <c r="AD8" s="14" t="s">
        <v>49</v>
      </c>
      <c r="AE8" s="14" t="s">
        <v>49</v>
      </c>
      <c r="AF8" s="2"/>
      <c r="AG8" s="2"/>
      <c r="AH8" s="60">
        <v>7</v>
      </c>
      <c r="AI8" s="41" t="s">
        <v>51</v>
      </c>
    </row>
    <row r="9" spans="2:37" x14ac:dyDescent="0.25">
      <c r="B9" s="37"/>
      <c r="C9" s="32" t="s">
        <v>63</v>
      </c>
      <c r="D9" s="5">
        <v>9</v>
      </c>
      <c r="E9" s="2"/>
      <c r="F9" s="5">
        <v>9</v>
      </c>
      <c r="G9" s="5">
        <v>9</v>
      </c>
      <c r="H9" s="5">
        <v>9</v>
      </c>
      <c r="I9" s="2"/>
      <c r="J9" s="2"/>
      <c r="K9" s="5">
        <v>9</v>
      </c>
      <c r="L9" s="5">
        <v>9</v>
      </c>
      <c r="M9" s="5">
        <v>9</v>
      </c>
      <c r="N9" s="5">
        <v>9</v>
      </c>
      <c r="O9" s="5">
        <v>9</v>
      </c>
      <c r="P9" s="5">
        <v>9</v>
      </c>
      <c r="Q9" s="5">
        <v>9</v>
      </c>
      <c r="R9" s="5">
        <v>9</v>
      </c>
      <c r="S9" s="5">
        <v>9</v>
      </c>
      <c r="T9" s="5">
        <v>9</v>
      </c>
      <c r="U9" s="2"/>
      <c r="V9" s="5">
        <v>9</v>
      </c>
      <c r="W9" s="5">
        <v>9</v>
      </c>
      <c r="X9" s="5">
        <v>9</v>
      </c>
      <c r="Y9" s="5">
        <v>9</v>
      </c>
      <c r="Z9" s="5">
        <v>9</v>
      </c>
      <c r="AA9" s="2"/>
      <c r="AB9" s="2"/>
      <c r="AC9" s="5">
        <v>9</v>
      </c>
      <c r="AD9" s="5">
        <v>9</v>
      </c>
      <c r="AE9" s="5">
        <v>9</v>
      </c>
      <c r="AF9" s="5">
        <v>9</v>
      </c>
      <c r="AG9" s="5">
        <v>9</v>
      </c>
      <c r="AH9" s="60">
        <v>6</v>
      </c>
      <c r="AI9" s="44" t="s">
        <v>47</v>
      </c>
      <c r="AJ9">
        <f>31-8</f>
        <v>23</v>
      </c>
      <c r="AK9">
        <f>AJ9*700</f>
        <v>16100</v>
      </c>
    </row>
    <row r="10" spans="2:37" s="8" customFormat="1" ht="8.1" customHeight="1" x14ac:dyDescent="0.25">
      <c r="B10" s="68" t="s">
        <v>15</v>
      </c>
      <c r="C10" s="68"/>
      <c r="D10" s="106"/>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60"/>
      <c r="AI10" s="28"/>
    </row>
    <row r="11" spans="2:37" x14ac:dyDescent="0.25">
      <c r="B11" s="19"/>
      <c r="C11" s="20" t="s">
        <v>26</v>
      </c>
      <c r="D11" s="14" t="s">
        <v>49</v>
      </c>
      <c r="E11" s="14" t="s">
        <v>49</v>
      </c>
      <c r="F11" s="14" t="s">
        <v>49</v>
      </c>
      <c r="G11" s="2"/>
      <c r="H11" s="53" t="s">
        <v>28</v>
      </c>
      <c r="I11" s="53" t="s">
        <v>28</v>
      </c>
      <c r="J11" s="14" t="s">
        <v>49</v>
      </c>
      <c r="K11" s="14" t="s">
        <v>49</v>
      </c>
      <c r="L11" s="14" t="s">
        <v>49</v>
      </c>
      <c r="M11" s="53" t="s">
        <v>28</v>
      </c>
      <c r="N11" s="2"/>
      <c r="O11" s="14" t="s">
        <v>49</v>
      </c>
      <c r="P11" s="53" t="s">
        <v>28</v>
      </c>
      <c r="Q11" s="14" t="s">
        <v>49</v>
      </c>
      <c r="R11" s="14" t="s">
        <v>49</v>
      </c>
      <c r="S11" s="14" t="s">
        <v>49</v>
      </c>
      <c r="T11" s="14" t="s">
        <v>49</v>
      </c>
      <c r="U11" s="2"/>
      <c r="V11" s="2"/>
      <c r="W11" s="14" t="s">
        <v>49</v>
      </c>
      <c r="X11" s="14" t="s">
        <v>49</v>
      </c>
      <c r="Y11" s="14" t="s">
        <v>49</v>
      </c>
      <c r="Z11" s="14" t="s">
        <v>49</v>
      </c>
      <c r="AA11" s="14" t="s">
        <v>49</v>
      </c>
      <c r="AB11" s="2"/>
      <c r="AC11" s="2"/>
      <c r="AD11" s="53" t="s">
        <v>28</v>
      </c>
      <c r="AE11" s="53" t="s">
        <v>28</v>
      </c>
      <c r="AF11" s="53" t="s">
        <v>28</v>
      </c>
      <c r="AG11" s="14" t="s">
        <v>49</v>
      </c>
      <c r="AH11" s="60">
        <v>6</v>
      </c>
      <c r="AI11" s="44" t="s">
        <v>47</v>
      </c>
    </row>
    <row r="12" spans="2:37" x14ac:dyDescent="0.25">
      <c r="B12" s="19"/>
      <c r="C12" s="20" t="s">
        <v>81</v>
      </c>
      <c r="D12" s="2"/>
      <c r="E12" s="2"/>
      <c r="F12" s="10">
        <v>7</v>
      </c>
      <c r="G12" s="10">
        <v>7</v>
      </c>
      <c r="H12" s="10">
        <v>7</v>
      </c>
      <c r="I12" s="10">
        <v>7</v>
      </c>
      <c r="J12" s="10">
        <v>7</v>
      </c>
      <c r="K12" s="10">
        <v>7</v>
      </c>
      <c r="L12" s="2"/>
      <c r="M12" s="10">
        <v>7</v>
      </c>
      <c r="N12" s="10">
        <v>7</v>
      </c>
      <c r="O12" s="10">
        <v>7</v>
      </c>
      <c r="P12" s="10">
        <v>7</v>
      </c>
      <c r="Q12" s="10">
        <v>7</v>
      </c>
      <c r="R12" s="10">
        <v>7</v>
      </c>
      <c r="S12" s="2"/>
      <c r="T12" s="10">
        <v>7</v>
      </c>
      <c r="U12" s="10">
        <v>7</v>
      </c>
      <c r="V12" s="10">
        <v>7</v>
      </c>
      <c r="W12" s="10">
        <v>7</v>
      </c>
      <c r="X12" s="10">
        <v>7</v>
      </c>
      <c r="Y12" s="2"/>
      <c r="Z12" s="2"/>
      <c r="AA12" s="10">
        <v>7</v>
      </c>
      <c r="AB12" s="10">
        <v>7</v>
      </c>
      <c r="AC12" s="10">
        <v>7</v>
      </c>
      <c r="AD12" s="10">
        <v>7</v>
      </c>
      <c r="AE12" s="10">
        <v>7</v>
      </c>
      <c r="AF12" s="10">
        <v>7</v>
      </c>
      <c r="AG12" s="2"/>
      <c r="AH12" s="60">
        <v>7</v>
      </c>
      <c r="AI12" s="42" t="s">
        <v>44</v>
      </c>
    </row>
    <row r="13" spans="2:37" s="8" customFormat="1" ht="8.1" customHeight="1" x14ac:dyDescent="0.25">
      <c r="B13" s="93" t="s">
        <v>12</v>
      </c>
      <c r="C13" s="93"/>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60"/>
      <c r="AI13" s="28"/>
    </row>
    <row r="14" spans="2:37" x14ac:dyDescent="0.25">
      <c r="B14" s="19"/>
      <c r="C14" s="20" t="s">
        <v>19</v>
      </c>
      <c r="D14" s="2"/>
      <c r="E14" s="2"/>
      <c r="F14" s="48">
        <v>8</v>
      </c>
      <c r="G14" s="48">
        <v>8</v>
      </c>
      <c r="H14" s="48">
        <v>8</v>
      </c>
      <c r="I14" s="48">
        <v>8</v>
      </c>
      <c r="J14" s="2"/>
      <c r="K14" s="2"/>
      <c r="L14" s="53" t="s">
        <v>28</v>
      </c>
      <c r="M14" s="53" t="s">
        <v>28</v>
      </c>
      <c r="N14" s="53" t="s">
        <v>28</v>
      </c>
      <c r="O14" s="53" t="s">
        <v>28</v>
      </c>
      <c r="P14" s="53" t="s">
        <v>28</v>
      </c>
      <c r="Q14" s="53" t="s">
        <v>28</v>
      </c>
      <c r="R14" s="2"/>
      <c r="S14" s="53" t="s">
        <v>28</v>
      </c>
      <c r="T14" s="53" t="s">
        <v>28</v>
      </c>
      <c r="U14" s="53" t="s">
        <v>28</v>
      </c>
      <c r="V14" s="53" t="s">
        <v>28</v>
      </c>
      <c r="W14" s="2"/>
      <c r="X14" s="48">
        <v>8</v>
      </c>
      <c r="Y14" s="48">
        <v>8</v>
      </c>
      <c r="Z14" s="48">
        <v>8</v>
      </c>
      <c r="AA14" s="48">
        <v>8</v>
      </c>
      <c r="AB14" s="48">
        <v>8</v>
      </c>
      <c r="AC14" s="48">
        <v>8</v>
      </c>
      <c r="AD14" s="48">
        <v>8</v>
      </c>
      <c r="AE14" s="2"/>
      <c r="AF14" s="48">
        <v>8</v>
      </c>
      <c r="AG14" s="48">
        <v>8</v>
      </c>
      <c r="AH14" s="63">
        <v>7</v>
      </c>
      <c r="AI14" s="41" t="s">
        <v>79</v>
      </c>
    </row>
    <row r="15" spans="2:37" x14ac:dyDescent="0.25">
      <c r="B15" s="19"/>
      <c r="C15" s="20" t="s">
        <v>20</v>
      </c>
      <c r="D15" s="48">
        <v>8</v>
      </c>
      <c r="E15" s="48">
        <v>8</v>
      </c>
      <c r="F15" s="10">
        <v>7</v>
      </c>
      <c r="G15" s="10">
        <v>7</v>
      </c>
      <c r="H15" s="48">
        <v>8</v>
      </c>
      <c r="I15" s="2"/>
      <c r="J15" s="48">
        <v>8</v>
      </c>
      <c r="K15" s="48">
        <v>8</v>
      </c>
      <c r="L15" s="48">
        <v>8</v>
      </c>
      <c r="M15" s="10">
        <v>7</v>
      </c>
      <c r="N15" s="48">
        <v>8</v>
      </c>
      <c r="O15" s="48">
        <v>8</v>
      </c>
      <c r="P15" s="2"/>
      <c r="Q15" s="48">
        <v>8</v>
      </c>
      <c r="R15" s="48">
        <v>8</v>
      </c>
      <c r="S15" s="48">
        <v>8</v>
      </c>
      <c r="T15" s="10">
        <v>7</v>
      </c>
      <c r="U15" s="48">
        <v>8</v>
      </c>
      <c r="V15" s="48">
        <v>8</v>
      </c>
      <c r="W15" s="48">
        <v>8</v>
      </c>
      <c r="X15" s="2"/>
      <c r="Y15" s="48">
        <v>8</v>
      </c>
      <c r="Z15" s="48">
        <v>8</v>
      </c>
      <c r="AA15" s="10">
        <v>7</v>
      </c>
      <c r="AB15" s="10">
        <v>7</v>
      </c>
      <c r="AC15" s="2"/>
      <c r="AD15" s="2"/>
      <c r="AE15" s="48">
        <v>8</v>
      </c>
      <c r="AF15" s="48">
        <v>8</v>
      </c>
      <c r="AG15" s="48">
        <v>8</v>
      </c>
      <c r="AH15" s="63">
        <v>6</v>
      </c>
      <c r="AI15" s="39" t="s">
        <v>43</v>
      </c>
    </row>
    <row r="16" spans="2:37" x14ac:dyDescent="0.25">
      <c r="B16" s="19"/>
      <c r="C16" s="20" t="s">
        <v>66</v>
      </c>
      <c r="D16" s="10">
        <v>7</v>
      </c>
      <c r="E16" s="10">
        <v>7</v>
      </c>
      <c r="F16" s="2"/>
      <c r="G16" s="2"/>
      <c r="H16" s="10">
        <v>7</v>
      </c>
      <c r="I16" s="10">
        <v>7</v>
      </c>
      <c r="J16" s="10">
        <v>7</v>
      </c>
      <c r="K16" s="10">
        <v>7</v>
      </c>
      <c r="L16" s="10">
        <v>7</v>
      </c>
      <c r="M16" s="2"/>
      <c r="N16" s="10">
        <v>7</v>
      </c>
      <c r="O16" s="10">
        <v>7</v>
      </c>
      <c r="P16" s="10">
        <v>7</v>
      </c>
      <c r="Q16" s="10">
        <v>7</v>
      </c>
      <c r="R16" s="10">
        <v>7</v>
      </c>
      <c r="S16" s="10">
        <v>7</v>
      </c>
      <c r="T16" s="2"/>
      <c r="U16" s="10">
        <v>7</v>
      </c>
      <c r="V16" s="10">
        <v>7</v>
      </c>
      <c r="W16" s="10">
        <v>7</v>
      </c>
      <c r="X16" s="10">
        <v>7</v>
      </c>
      <c r="Y16" s="10">
        <v>7</v>
      </c>
      <c r="Z16" s="10">
        <v>7</v>
      </c>
      <c r="AA16" s="2"/>
      <c r="AB16" s="2"/>
      <c r="AC16" s="10">
        <v>7</v>
      </c>
      <c r="AD16" s="10">
        <v>7</v>
      </c>
      <c r="AE16" s="10">
        <v>7</v>
      </c>
      <c r="AF16" s="10">
        <v>7</v>
      </c>
      <c r="AG16" s="10">
        <v>7</v>
      </c>
      <c r="AH16" s="64">
        <v>6</v>
      </c>
      <c r="AI16" s="43" t="s">
        <v>48</v>
      </c>
      <c r="AJ16">
        <v>24</v>
      </c>
      <c r="AK16">
        <f>700*AJ16</f>
        <v>16800</v>
      </c>
    </row>
    <row r="17" spans="2:37" s="8" customFormat="1" ht="8.1" customHeight="1" x14ac:dyDescent="0.25">
      <c r="B17" s="93" t="s">
        <v>13</v>
      </c>
      <c r="C17" s="93"/>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65"/>
      <c r="AI17" s="28"/>
    </row>
    <row r="18" spans="2:37" ht="16.5" customHeight="1" x14ac:dyDescent="0.25">
      <c r="B18" s="19"/>
      <c r="C18" s="20" t="s">
        <v>21</v>
      </c>
      <c r="D18" s="9">
        <v>9</v>
      </c>
      <c r="E18" s="9">
        <v>9</v>
      </c>
      <c r="F18" s="9">
        <v>9</v>
      </c>
      <c r="G18" s="9">
        <v>9</v>
      </c>
      <c r="H18" s="2"/>
      <c r="I18" s="2"/>
      <c r="J18" s="9">
        <v>9</v>
      </c>
      <c r="K18" s="9">
        <v>9</v>
      </c>
      <c r="L18" s="9">
        <v>9</v>
      </c>
      <c r="M18" s="9">
        <v>9</v>
      </c>
      <c r="N18" s="2"/>
      <c r="O18" s="2"/>
      <c r="P18" s="10">
        <v>7</v>
      </c>
      <c r="Q18" s="9">
        <v>9</v>
      </c>
      <c r="R18" s="9">
        <v>9</v>
      </c>
      <c r="S18" s="9">
        <v>9</v>
      </c>
      <c r="T18" s="9">
        <v>9</v>
      </c>
      <c r="U18" s="9">
        <v>9</v>
      </c>
      <c r="V18" s="2"/>
      <c r="W18" s="53" t="s">
        <v>28</v>
      </c>
      <c r="X18" s="9">
        <v>9</v>
      </c>
      <c r="Y18" s="9">
        <v>9</v>
      </c>
      <c r="Z18" s="9">
        <v>9</v>
      </c>
      <c r="AA18" s="6">
        <v>8.3000000000000007</v>
      </c>
      <c r="AB18" s="9">
        <v>9</v>
      </c>
      <c r="AC18" s="13">
        <v>12</v>
      </c>
      <c r="AD18" s="2"/>
      <c r="AE18" s="9">
        <v>9</v>
      </c>
      <c r="AF18" s="9">
        <v>9</v>
      </c>
      <c r="AG18" s="9">
        <v>9</v>
      </c>
      <c r="AH18" s="63">
        <v>6</v>
      </c>
      <c r="AI18" s="45" t="s">
        <v>46</v>
      </c>
    </row>
    <row r="19" spans="2:37" x14ac:dyDescent="0.25">
      <c r="B19" s="19"/>
      <c r="C19" s="20" t="s">
        <v>22</v>
      </c>
      <c r="D19" s="53" t="s">
        <v>28</v>
      </c>
      <c r="E19" s="53" t="s">
        <v>28</v>
      </c>
      <c r="F19" s="10">
        <v>7</v>
      </c>
      <c r="G19" s="34"/>
      <c r="H19" s="2"/>
      <c r="I19" s="53" t="s">
        <v>28</v>
      </c>
      <c r="J19" s="53" t="s">
        <v>28</v>
      </c>
      <c r="K19" s="10">
        <v>7</v>
      </c>
      <c r="L19" s="10">
        <v>7</v>
      </c>
      <c r="M19" s="10">
        <v>7</v>
      </c>
      <c r="N19" s="10">
        <v>7</v>
      </c>
      <c r="O19" s="10">
        <v>7</v>
      </c>
      <c r="P19" s="2"/>
      <c r="Q19" s="10">
        <v>7</v>
      </c>
      <c r="R19" s="10">
        <v>7</v>
      </c>
      <c r="S19" s="10">
        <v>7</v>
      </c>
      <c r="T19" s="10">
        <v>7</v>
      </c>
      <c r="U19" s="2"/>
      <c r="V19" s="10">
        <v>7</v>
      </c>
      <c r="W19" s="10">
        <v>7</v>
      </c>
      <c r="X19" s="10">
        <v>7</v>
      </c>
      <c r="Y19" s="2"/>
      <c r="Z19" s="2"/>
      <c r="AA19" s="53" t="s">
        <v>28</v>
      </c>
      <c r="AB19" s="10">
        <v>7</v>
      </c>
      <c r="AC19" s="10">
        <v>7</v>
      </c>
      <c r="AD19" s="54" t="s">
        <v>29</v>
      </c>
      <c r="AE19" s="10">
        <v>7</v>
      </c>
      <c r="AF19" s="10">
        <v>7</v>
      </c>
      <c r="AG19" s="2"/>
      <c r="AH19" s="63">
        <v>6</v>
      </c>
      <c r="AI19" s="43" t="s">
        <v>48</v>
      </c>
    </row>
    <row r="20" spans="2:37" x14ac:dyDescent="0.25">
      <c r="B20" s="19"/>
      <c r="C20" s="32" t="s">
        <v>89</v>
      </c>
      <c r="D20" s="2"/>
      <c r="E20" s="13">
        <v>12</v>
      </c>
      <c r="F20" s="13">
        <v>12</v>
      </c>
      <c r="G20" s="13">
        <v>12</v>
      </c>
      <c r="H20" s="13">
        <v>12</v>
      </c>
      <c r="I20" s="13">
        <v>12</v>
      </c>
      <c r="J20" s="10">
        <v>7</v>
      </c>
      <c r="K20" s="13">
        <v>12</v>
      </c>
      <c r="L20" s="13">
        <v>12</v>
      </c>
      <c r="M20" s="2"/>
      <c r="N20" s="13">
        <v>12</v>
      </c>
      <c r="O20" s="13">
        <v>12</v>
      </c>
      <c r="P20" s="13">
        <v>12</v>
      </c>
      <c r="Q20" s="13">
        <v>12</v>
      </c>
      <c r="R20" s="13">
        <v>12</v>
      </c>
      <c r="S20" s="13">
        <v>12</v>
      </c>
      <c r="T20" s="2"/>
      <c r="U20" s="10">
        <v>7</v>
      </c>
      <c r="V20" s="13">
        <v>12</v>
      </c>
      <c r="W20" s="13">
        <v>12</v>
      </c>
      <c r="X20" s="13">
        <v>12</v>
      </c>
      <c r="Y20" s="10">
        <v>7</v>
      </c>
      <c r="Z20" s="10">
        <v>7</v>
      </c>
      <c r="AA20" s="2"/>
      <c r="AB20" s="2"/>
      <c r="AC20" s="53" t="s">
        <v>28</v>
      </c>
      <c r="AD20" s="53" t="s">
        <v>28</v>
      </c>
      <c r="AE20" s="2"/>
      <c r="AF20" s="2"/>
      <c r="AG20" s="10">
        <v>7</v>
      </c>
      <c r="AH20" s="65">
        <v>7</v>
      </c>
      <c r="AI20" s="41" t="s">
        <v>51</v>
      </c>
      <c r="AJ20">
        <v>14</v>
      </c>
      <c r="AK20">
        <f>AJ20*700</f>
        <v>9800</v>
      </c>
    </row>
    <row r="21" spans="2:37" x14ac:dyDescent="0.25">
      <c r="B21" s="19"/>
      <c r="C21" s="32" t="s">
        <v>71</v>
      </c>
      <c r="D21" s="47" t="s">
        <v>58</v>
      </c>
      <c r="E21" s="47" t="s">
        <v>58</v>
      </c>
      <c r="F21" s="52" t="s">
        <v>64</v>
      </c>
      <c r="G21" s="47" t="s">
        <v>58</v>
      </c>
      <c r="H21" s="47" t="s">
        <v>58</v>
      </c>
      <c r="I21" s="47" t="s">
        <v>58</v>
      </c>
      <c r="J21" s="3"/>
      <c r="K21" s="3"/>
      <c r="L21" s="3"/>
      <c r="M21" s="3"/>
      <c r="N21" s="3"/>
      <c r="O21" s="3"/>
      <c r="P21" s="3"/>
      <c r="Q21" s="3"/>
      <c r="R21" s="3"/>
      <c r="S21" s="3"/>
      <c r="T21" s="3"/>
      <c r="U21" s="3"/>
      <c r="V21" s="3"/>
      <c r="W21" s="3"/>
      <c r="X21" s="3"/>
      <c r="Y21" s="3"/>
      <c r="Z21" s="3"/>
      <c r="AA21" s="3"/>
      <c r="AB21" s="3"/>
      <c r="AC21" s="3"/>
      <c r="AD21" s="3"/>
      <c r="AE21" s="3"/>
      <c r="AF21" s="3"/>
      <c r="AG21" s="3"/>
      <c r="AH21" s="65"/>
      <c r="AI21" s="40" t="s">
        <v>45</v>
      </c>
      <c r="AJ21">
        <v>26</v>
      </c>
      <c r="AK21">
        <f>AJ21*700</f>
        <v>18200</v>
      </c>
    </row>
    <row r="22" spans="2:37" ht="9" customHeight="1" x14ac:dyDescent="0.25">
      <c r="B22" s="89" t="s">
        <v>14</v>
      </c>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60"/>
      <c r="AI22" s="28"/>
    </row>
    <row r="23" spans="2:37" s="8" customFormat="1" ht="15.95" customHeight="1" x14ac:dyDescent="0.25">
      <c r="B23" s="19"/>
      <c r="C23" s="20" t="s">
        <v>78</v>
      </c>
      <c r="D23" s="14" t="s">
        <v>49</v>
      </c>
      <c r="E23" s="14" t="s">
        <v>49</v>
      </c>
      <c r="F23" s="14" t="s">
        <v>49</v>
      </c>
      <c r="G23" s="14" t="s">
        <v>49</v>
      </c>
      <c r="H23" s="14" t="s">
        <v>49</v>
      </c>
      <c r="I23" s="14" t="s">
        <v>49</v>
      </c>
      <c r="J23" s="34"/>
      <c r="K23" s="34"/>
      <c r="L23" s="14" t="s">
        <v>49</v>
      </c>
      <c r="M23" s="14" t="s">
        <v>49</v>
      </c>
      <c r="N23" s="14" t="s">
        <v>49</v>
      </c>
      <c r="O23" s="14" t="s">
        <v>49</v>
      </c>
      <c r="P23" s="14" t="s">
        <v>49</v>
      </c>
      <c r="Q23" s="34"/>
      <c r="R23" s="14" t="s">
        <v>49</v>
      </c>
      <c r="S23" s="14" t="s">
        <v>49</v>
      </c>
      <c r="T23" s="14" t="s">
        <v>49</v>
      </c>
      <c r="U23" s="14" t="s">
        <v>49</v>
      </c>
      <c r="V23" s="14" t="s">
        <v>49</v>
      </c>
      <c r="W23" s="34"/>
      <c r="X23" s="14" t="s">
        <v>49</v>
      </c>
      <c r="Y23" s="14" t="s">
        <v>49</v>
      </c>
      <c r="Z23" s="14" t="s">
        <v>49</v>
      </c>
      <c r="AA23" s="14" t="s">
        <v>49</v>
      </c>
      <c r="AB23" s="14" t="s">
        <v>49</v>
      </c>
      <c r="AC23" s="14" t="s">
        <v>49</v>
      </c>
      <c r="AD23" s="14" t="s">
        <v>49</v>
      </c>
      <c r="AE23" s="14" t="s">
        <v>49</v>
      </c>
      <c r="AF23" s="34"/>
      <c r="AG23" s="34"/>
      <c r="AH23" s="60">
        <v>6</v>
      </c>
      <c r="AI23" s="40" t="s">
        <v>45</v>
      </c>
      <c r="AK23" s="8">
        <f>SUM(AK8:AK20)</f>
        <v>42700</v>
      </c>
    </row>
    <row r="24" spans="2:37" s="8" customFormat="1" ht="15.95" customHeight="1" x14ac:dyDescent="0.25">
      <c r="B24" s="19"/>
      <c r="C24" s="20" t="s">
        <v>24</v>
      </c>
      <c r="D24" s="34"/>
      <c r="E24" s="34"/>
      <c r="F24" s="10">
        <v>7</v>
      </c>
      <c r="G24" s="53" t="s">
        <v>28</v>
      </c>
      <c r="H24" s="10">
        <v>7</v>
      </c>
      <c r="I24" s="13">
        <v>12</v>
      </c>
      <c r="J24" s="13">
        <v>12</v>
      </c>
      <c r="K24" s="13">
        <v>12</v>
      </c>
      <c r="L24" s="34"/>
      <c r="M24" s="10">
        <v>7</v>
      </c>
      <c r="N24" s="10">
        <v>7</v>
      </c>
      <c r="O24" s="13">
        <v>12</v>
      </c>
      <c r="P24" s="13">
        <v>12</v>
      </c>
      <c r="Q24" s="13">
        <v>12</v>
      </c>
      <c r="R24" s="53" t="s">
        <v>28</v>
      </c>
      <c r="S24" s="34"/>
      <c r="T24" s="10">
        <v>7</v>
      </c>
      <c r="U24" s="10">
        <v>7</v>
      </c>
      <c r="V24" s="13">
        <v>12</v>
      </c>
      <c r="W24" s="13">
        <v>12</v>
      </c>
      <c r="X24" s="10">
        <v>7</v>
      </c>
      <c r="Y24" s="10">
        <v>7</v>
      </c>
      <c r="Z24" s="10">
        <v>7</v>
      </c>
      <c r="AA24" s="34"/>
      <c r="AB24" s="53" t="s">
        <v>28</v>
      </c>
      <c r="AC24" s="10">
        <v>7</v>
      </c>
      <c r="AD24" s="10">
        <v>7</v>
      </c>
      <c r="AE24" s="10">
        <v>7</v>
      </c>
      <c r="AF24" s="34"/>
      <c r="AG24" s="34"/>
      <c r="AH24" s="60">
        <v>7</v>
      </c>
      <c r="AI24" s="42" t="s">
        <v>44</v>
      </c>
      <c r="AK24" s="8">
        <f>SUM(AK9:AK22)</f>
        <v>60900</v>
      </c>
    </row>
    <row r="25" spans="2:37" x14ac:dyDescent="0.25">
      <c r="B25" s="26"/>
      <c r="C25" s="27" t="s">
        <v>25</v>
      </c>
      <c r="D25" s="13">
        <v>12</v>
      </c>
      <c r="E25" s="13">
        <v>12</v>
      </c>
      <c r="F25" s="13">
        <v>12</v>
      </c>
      <c r="G25" s="13">
        <v>12</v>
      </c>
      <c r="H25" s="10">
        <v>7</v>
      </c>
      <c r="I25" s="34"/>
      <c r="J25" s="13">
        <v>12</v>
      </c>
      <c r="K25" s="13">
        <v>12</v>
      </c>
      <c r="L25" s="13">
        <v>12</v>
      </c>
      <c r="M25" s="13">
        <v>12</v>
      </c>
      <c r="N25" s="13">
        <v>12</v>
      </c>
      <c r="O25" s="34"/>
      <c r="P25" s="13">
        <v>12</v>
      </c>
      <c r="Q25" s="13">
        <v>12</v>
      </c>
      <c r="R25" s="13">
        <v>12</v>
      </c>
      <c r="S25" s="13">
        <v>12</v>
      </c>
      <c r="T25" s="13">
        <v>12</v>
      </c>
      <c r="U25" s="13">
        <v>12</v>
      </c>
      <c r="V25" s="34"/>
      <c r="W25" s="13">
        <v>12</v>
      </c>
      <c r="X25" s="13">
        <v>12</v>
      </c>
      <c r="Y25" s="13">
        <v>12</v>
      </c>
      <c r="Z25" s="13">
        <v>12</v>
      </c>
      <c r="AA25" s="13">
        <v>12</v>
      </c>
      <c r="AB25" s="13">
        <v>12</v>
      </c>
      <c r="AC25" s="34"/>
      <c r="AD25" s="34"/>
      <c r="AE25" s="13">
        <v>12</v>
      </c>
      <c r="AF25" s="13">
        <v>12</v>
      </c>
      <c r="AG25" s="13">
        <v>12</v>
      </c>
      <c r="AH25" s="60">
        <v>6</v>
      </c>
      <c r="AI25" s="44" t="s">
        <v>47</v>
      </c>
    </row>
    <row r="26" spans="2:37" x14ac:dyDescent="0.25">
      <c r="B26" s="19"/>
      <c r="C26" s="20" t="s">
        <v>18</v>
      </c>
      <c r="D26" s="74"/>
      <c r="E26" s="74"/>
      <c r="F26" s="13">
        <v>12</v>
      </c>
      <c r="G26" s="10">
        <v>7</v>
      </c>
      <c r="H26" s="13">
        <v>12</v>
      </c>
      <c r="I26" s="10">
        <v>7</v>
      </c>
      <c r="J26" s="34"/>
      <c r="K26" s="34"/>
      <c r="L26" s="53" t="s">
        <v>28</v>
      </c>
      <c r="M26" s="53" t="s">
        <v>28</v>
      </c>
      <c r="N26" s="53" t="s">
        <v>28</v>
      </c>
      <c r="O26" s="53" t="s">
        <v>28</v>
      </c>
      <c r="P26" s="53" t="s">
        <v>28</v>
      </c>
      <c r="Q26" s="53" t="s">
        <v>28</v>
      </c>
      <c r="R26" s="2"/>
      <c r="S26" s="53" t="s">
        <v>28</v>
      </c>
      <c r="T26" s="53" t="s">
        <v>28</v>
      </c>
      <c r="U26" s="53" t="s">
        <v>28</v>
      </c>
      <c r="V26" s="53" t="s">
        <v>28</v>
      </c>
      <c r="W26" s="2"/>
      <c r="X26" s="13">
        <v>12</v>
      </c>
      <c r="Y26" s="13">
        <v>12</v>
      </c>
      <c r="Z26" s="13">
        <v>12</v>
      </c>
      <c r="AA26" s="10">
        <v>7</v>
      </c>
      <c r="AB26" s="10">
        <v>7</v>
      </c>
      <c r="AC26" s="13">
        <v>12</v>
      </c>
      <c r="AD26" s="13">
        <v>12</v>
      </c>
      <c r="AE26" s="2"/>
      <c r="AF26" s="13">
        <v>12</v>
      </c>
      <c r="AG26" s="13">
        <v>12</v>
      </c>
      <c r="AH26" s="60">
        <v>7</v>
      </c>
      <c r="AI26" s="41" t="s">
        <v>79</v>
      </c>
    </row>
    <row r="27" spans="2:37" x14ac:dyDescent="0.25">
      <c r="B27" s="19"/>
      <c r="C27" s="20" t="s">
        <v>23</v>
      </c>
      <c r="D27" s="10">
        <v>7</v>
      </c>
      <c r="E27" s="10">
        <v>7</v>
      </c>
      <c r="F27" s="34"/>
      <c r="G27" s="34"/>
      <c r="H27" s="53" t="s">
        <v>28</v>
      </c>
      <c r="I27" s="53" t="s">
        <v>28</v>
      </c>
      <c r="J27" s="10">
        <v>7</v>
      </c>
      <c r="K27" s="10">
        <v>7</v>
      </c>
      <c r="L27" s="10">
        <v>7</v>
      </c>
      <c r="M27" s="34"/>
      <c r="N27" s="53" t="s">
        <v>28</v>
      </c>
      <c r="O27" s="10">
        <v>7</v>
      </c>
      <c r="P27" s="10">
        <v>7</v>
      </c>
      <c r="Q27" s="10">
        <v>7</v>
      </c>
      <c r="R27" s="10">
        <v>7</v>
      </c>
      <c r="S27" s="10">
        <v>7</v>
      </c>
      <c r="T27" s="34"/>
      <c r="U27" s="53" t="s">
        <v>28</v>
      </c>
      <c r="V27" s="10">
        <v>7</v>
      </c>
      <c r="W27" s="10">
        <v>7</v>
      </c>
      <c r="X27" s="10">
        <v>7</v>
      </c>
      <c r="Y27" s="10">
        <v>7</v>
      </c>
      <c r="Z27" s="10">
        <v>7</v>
      </c>
      <c r="AA27" s="34"/>
      <c r="AB27" s="34"/>
      <c r="AC27" s="53" t="s">
        <v>28</v>
      </c>
      <c r="AD27" s="53" t="s">
        <v>28</v>
      </c>
      <c r="AE27" s="53" t="s">
        <v>28</v>
      </c>
      <c r="AF27" s="10">
        <v>7</v>
      </c>
      <c r="AG27" s="10">
        <v>7</v>
      </c>
      <c r="AH27" s="60">
        <v>6</v>
      </c>
      <c r="AI27" s="43" t="s">
        <v>48</v>
      </c>
    </row>
    <row r="28" spans="2:37" ht="9" customHeight="1" x14ac:dyDescent="0.25">
      <c r="N28"/>
      <c r="AA28" s="69"/>
      <c r="AB28" s="69"/>
      <c r="AH28" s="60"/>
      <c r="AI28" s="28"/>
    </row>
    <row r="29" spans="2:37" x14ac:dyDescent="0.25">
      <c r="B29" s="81" t="s">
        <v>54</v>
      </c>
      <c r="C29" s="81"/>
      <c r="D29" s="64">
        <v>3</v>
      </c>
      <c r="E29" s="64">
        <v>2</v>
      </c>
      <c r="F29" s="64">
        <v>2</v>
      </c>
      <c r="G29" s="64">
        <v>0</v>
      </c>
      <c r="H29" s="64">
        <v>0</v>
      </c>
      <c r="I29" s="64">
        <v>0</v>
      </c>
      <c r="J29" s="64">
        <v>0</v>
      </c>
      <c r="K29" s="64">
        <v>2</v>
      </c>
      <c r="L29" s="64">
        <v>2</v>
      </c>
      <c r="M29" s="64">
        <v>0</v>
      </c>
      <c r="N29" s="64">
        <v>1</v>
      </c>
      <c r="O29" s="64">
        <v>1</v>
      </c>
      <c r="P29" s="64">
        <v>1</v>
      </c>
      <c r="Q29" s="64">
        <v>1</v>
      </c>
      <c r="R29" s="64">
        <v>1</v>
      </c>
      <c r="S29" s="64">
        <v>1</v>
      </c>
      <c r="T29" s="64">
        <v>1</v>
      </c>
      <c r="U29" s="64">
        <v>0</v>
      </c>
      <c r="V29" s="64">
        <v>1</v>
      </c>
      <c r="W29" s="64">
        <v>1</v>
      </c>
      <c r="X29" s="64">
        <v>1</v>
      </c>
      <c r="Y29" s="64">
        <v>1</v>
      </c>
      <c r="Z29" s="64">
        <v>2</v>
      </c>
      <c r="AA29" s="64">
        <v>2</v>
      </c>
      <c r="AB29" s="64">
        <v>2</v>
      </c>
      <c r="AC29" s="64">
        <v>1</v>
      </c>
      <c r="AD29" s="64">
        <v>1</v>
      </c>
      <c r="AE29" s="64">
        <v>1</v>
      </c>
      <c r="AF29" s="64">
        <v>1</v>
      </c>
      <c r="AG29" s="64">
        <v>0</v>
      </c>
      <c r="AH29" s="60"/>
    </row>
    <row r="30" spans="2:37" x14ac:dyDescent="0.25">
      <c r="B30" s="81" t="s">
        <v>30</v>
      </c>
      <c r="C30" s="81"/>
      <c r="D30" s="67">
        <v>18</v>
      </c>
      <c r="E30" s="67">
        <v>18</v>
      </c>
      <c r="F30" s="67">
        <v>18</v>
      </c>
      <c r="G30" s="67">
        <v>18</v>
      </c>
      <c r="H30" s="67">
        <v>18</v>
      </c>
      <c r="I30" s="67">
        <v>18</v>
      </c>
      <c r="J30" s="67">
        <v>17</v>
      </c>
      <c r="K30" s="73">
        <v>17</v>
      </c>
      <c r="L30" s="73">
        <v>17</v>
      </c>
      <c r="M30" s="73">
        <v>17</v>
      </c>
      <c r="N30" s="73">
        <v>17</v>
      </c>
      <c r="O30" s="73">
        <v>17</v>
      </c>
      <c r="P30" s="73">
        <v>17</v>
      </c>
      <c r="Q30" s="73">
        <v>17</v>
      </c>
      <c r="R30" s="73">
        <v>17</v>
      </c>
      <c r="S30" s="73">
        <v>17</v>
      </c>
      <c r="T30" s="73">
        <v>17</v>
      </c>
      <c r="U30" s="73">
        <v>17</v>
      </c>
      <c r="V30" s="73">
        <v>17</v>
      </c>
      <c r="W30" s="73">
        <v>17</v>
      </c>
      <c r="X30" s="73">
        <v>17</v>
      </c>
      <c r="Y30" s="73">
        <v>17</v>
      </c>
      <c r="Z30" s="73">
        <v>17</v>
      </c>
      <c r="AA30" s="73">
        <v>17</v>
      </c>
      <c r="AB30" s="73">
        <v>17</v>
      </c>
      <c r="AC30" s="73">
        <v>17</v>
      </c>
      <c r="AD30" s="73">
        <v>17</v>
      </c>
      <c r="AE30" s="73">
        <v>17</v>
      </c>
      <c r="AF30" s="73">
        <v>17</v>
      </c>
      <c r="AG30" s="73">
        <v>17</v>
      </c>
    </row>
    <row r="31" spans="2:37" x14ac:dyDescent="0.25">
      <c r="B31" s="81" t="s">
        <v>31</v>
      </c>
      <c r="C31" s="81"/>
      <c r="D31" s="67">
        <v>6</v>
      </c>
      <c r="E31" s="67">
        <v>5</v>
      </c>
      <c r="F31" s="67">
        <v>2</v>
      </c>
      <c r="G31" s="67">
        <v>5</v>
      </c>
      <c r="H31" s="67">
        <v>6</v>
      </c>
      <c r="I31" s="67">
        <v>5</v>
      </c>
      <c r="J31" s="67">
        <v>4</v>
      </c>
      <c r="K31" s="67">
        <v>5</v>
      </c>
      <c r="L31" s="67">
        <v>3</v>
      </c>
      <c r="M31" s="67">
        <v>2</v>
      </c>
      <c r="N31" s="67">
        <v>2</v>
      </c>
      <c r="O31" s="67">
        <v>3</v>
      </c>
      <c r="P31" s="67">
        <v>4</v>
      </c>
      <c r="Q31" s="67">
        <v>1</v>
      </c>
      <c r="R31" s="67">
        <v>2</v>
      </c>
      <c r="S31" s="67">
        <v>2</v>
      </c>
      <c r="T31" s="67">
        <v>4</v>
      </c>
      <c r="U31" s="67">
        <v>3</v>
      </c>
      <c r="V31" s="67">
        <v>4</v>
      </c>
      <c r="W31" s="67">
        <v>5</v>
      </c>
      <c r="X31" s="67">
        <v>1</v>
      </c>
      <c r="Y31" s="67">
        <v>2</v>
      </c>
      <c r="Z31" s="67">
        <v>3</v>
      </c>
      <c r="AA31" s="67">
        <v>5</v>
      </c>
      <c r="AB31" s="67">
        <v>4</v>
      </c>
      <c r="AC31" s="67">
        <v>4</v>
      </c>
      <c r="AD31" s="67">
        <v>4</v>
      </c>
      <c r="AE31" s="67">
        <v>3</v>
      </c>
      <c r="AF31" s="67">
        <v>4</v>
      </c>
      <c r="AG31" s="67">
        <v>5</v>
      </c>
    </row>
    <row r="32" spans="2:37" x14ac:dyDescent="0.25">
      <c r="B32" s="81" t="s">
        <v>32</v>
      </c>
      <c r="C32" s="81"/>
      <c r="D32" s="67">
        <v>2</v>
      </c>
      <c r="E32" s="67">
        <v>2</v>
      </c>
      <c r="F32" s="67">
        <v>1</v>
      </c>
      <c r="G32" s="67">
        <v>1</v>
      </c>
      <c r="H32" s="67">
        <v>2</v>
      </c>
      <c r="I32" s="67">
        <v>4</v>
      </c>
      <c r="J32" s="67">
        <v>3</v>
      </c>
      <c r="K32" s="67">
        <v>1</v>
      </c>
      <c r="L32" s="67">
        <v>2</v>
      </c>
      <c r="M32" s="67">
        <v>4</v>
      </c>
      <c r="N32" s="67">
        <v>4</v>
      </c>
      <c r="O32" s="67">
        <v>3</v>
      </c>
      <c r="P32" s="67">
        <v>3</v>
      </c>
      <c r="Q32" s="67">
        <v>3</v>
      </c>
      <c r="R32" s="67">
        <v>2</v>
      </c>
      <c r="S32" s="67">
        <v>3</v>
      </c>
      <c r="T32" s="67">
        <v>3</v>
      </c>
      <c r="U32" s="67">
        <v>3</v>
      </c>
      <c r="V32" s="67">
        <v>2</v>
      </c>
      <c r="W32" s="67">
        <v>1</v>
      </c>
      <c r="X32" s="67">
        <v>1</v>
      </c>
      <c r="Y32" s="67">
        <v>1</v>
      </c>
      <c r="Z32" s="67">
        <v>0</v>
      </c>
      <c r="AA32" s="67">
        <v>1</v>
      </c>
      <c r="AB32" s="67">
        <v>0</v>
      </c>
      <c r="AC32" s="67">
        <v>2</v>
      </c>
      <c r="AD32" s="67">
        <v>3</v>
      </c>
      <c r="AE32" s="67">
        <v>2</v>
      </c>
      <c r="AF32" s="67">
        <v>1</v>
      </c>
      <c r="AG32" s="67">
        <v>0</v>
      </c>
    </row>
    <row r="33" spans="2:33" x14ac:dyDescent="0.25">
      <c r="B33" s="80" t="s">
        <v>33</v>
      </c>
      <c r="C33" s="80"/>
      <c r="D33" s="5">
        <f>D30-D31-D32</f>
        <v>10</v>
      </c>
      <c r="E33" s="5">
        <f t="shared" ref="E33:AG33" si="0">E30-E31-E32</f>
        <v>11</v>
      </c>
      <c r="F33" s="5">
        <f t="shared" si="0"/>
        <v>15</v>
      </c>
      <c r="G33" s="5">
        <f t="shared" si="0"/>
        <v>12</v>
      </c>
      <c r="H33" s="5">
        <f t="shared" si="0"/>
        <v>10</v>
      </c>
      <c r="I33" s="5">
        <f t="shared" si="0"/>
        <v>9</v>
      </c>
      <c r="J33" s="5">
        <f t="shared" si="0"/>
        <v>10</v>
      </c>
      <c r="K33" s="5">
        <f t="shared" si="0"/>
        <v>11</v>
      </c>
      <c r="L33" s="5">
        <f t="shared" si="0"/>
        <v>12</v>
      </c>
      <c r="M33" s="5">
        <f t="shared" si="0"/>
        <v>11</v>
      </c>
      <c r="N33" s="5">
        <f t="shared" si="0"/>
        <v>11</v>
      </c>
      <c r="O33" s="5">
        <f t="shared" si="0"/>
        <v>11</v>
      </c>
      <c r="P33" s="5">
        <f t="shared" si="0"/>
        <v>10</v>
      </c>
      <c r="Q33" s="5">
        <f t="shared" si="0"/>
        <v>13</v>
      </c>
      <c r="R33" s="5">
        <f t="shared" si="0"/>
        <v>13</v>
      </c>
      <c r="S33" s="5">
        <f t="shared" si="0"/>
        <v>12</v>
      </c>
      <c r="T33" s="5">
        <f t="shared" si="0"/>
        <v>10</v>
      </c>
      <c r="U33" s="5">
        <f t="shared" si="0"/>
        <v>11</v>
      </c>
      <c r="V33" s="5">
        <f t="shared" si="0"/>
        <v>11</v>
      </c>
      <c r="W33" s="5">
        <f t="shared" si="0"/>
        <v>11</v>
      </c>
      <c r="X33" s="5">
        <f t="shared" si="0"/>
        <v>15</v>
      </c>
      <c r="Y33" s="5">
        <f t="shared" si="0"/>
        <v>14</v>
      </c>
      <c r="Z33" s="5">
        <f t="shared" si="0"/>
        <v>14</v>
      </c>
      <c r="AA33" s="5">
        <f t="shared" si="0"/>
        <v>11</v>
      </c>
      <c r="AB33" s="5">
        <f t="shared" si="0"/>
        <v>13</v>
      </c>
      <c r="AC33" s="5">
        <f t="shared" si="0"/>
        <v>11</v>
      </c>
      <c r="AD33" s="5">
        <f t="shared" si="0"/>
        <v>10</v>
      </c>
      <c r="AE33" s="5">
        <f t="shared" si="0"/>
        <v>12</v>
      </c>
      <c r="AF33" s="5">
        <f t="shared" si="0"/>
        <v>12</v>
      </c>
      <c r="AG33" s="5">
        <f t="shared" si="0"/>
        <v>12</v>
      </c>
    </row>
    <row r="36" spans="2:33" ht="15.75" customHeight="1" x14ac:dyDescent="0.25">
      <c r="S36" s="83" t="s">
        <v>35</v>
      </c>
      <c r="T36" s="84"/>
      <c r="U36" s="84"/>
      <c r="V36" s="85"/>
      <c r="W36" s="77" t="s">
        <v>83</v>
      </c>
      <c r="X36" s="78"/>
      <c r="Y36" s="78"/>
      <c r="Z36" s="78"/>
      <c r="AA36" s="78"/>
      <c r="AB36" s="78"/>
      <c r="AC36" s="78"/>
      <c r="AD36" s="78"/>
      <c r="AE36" s="78"/>
      <c r="AF36" s="78"/>
      <c r="AG36" s="79"/>
    </row>
    <row r="37" spans="2:33" ht="15.95" customHeight="1" x14ac:dyDescent="0.25">
      <c r="D37" s="10">
        <v>7</v>
      </c>
      <c r="E37" s="75" t="s">
        <v>37</v>
      </c>
      <c r="F37" s="76"/>
      <c r="G37" s="76"/>
      <c r="H37" s="76"/>
      <c r="I37" s="76"/>
      <c r="J37" s="76"/>
      <c r="L37" s="48">
        <v>8</v>
      </c>
      <c r="M37" s="75" t="s">
        <v>62</v>
      </c>
      <c r="N37" s="76"/>
      <c r="O37" s="76"/>
      <c r="P37" s="76"/>
      <c r="Q37" s="76"/>
      <c r="R37" s="82"/>
      <c r="S37" s="75"/>
      <c r="T37" s="76"/>
      <c r="U37" s="76"/>
      <c r="V37" s="82"/>
      <c r="W37" s="77" t="s">
        <v>86</v>
      </c>
      <c r="X37" s="78"/>
      <c r="Y37" s="78"/>
      <c r="Z37" s="78"/>
      <c r="AA37" s="78"/>
      <c r="AB37" s="78"/>
      <c r="AC37" s="78"/>
      <c r="AD37" s="78"/>
      <c r="AE37" s="78"/>
      <c r="AF37" s="78"/>
      <c r="AG37" s="79"/>
    </row>
    <row r="38" spans="2:33" x14ac:dyDescent="0.25">
      <c r="D38" s="9">
        <v>9</v>
      </c>
      <c r="E38" s="75" t="s">
        <v>53</v>
      </c>
      <c r="F38" s="76"/>
      <c r="G38" s="76"/>
      <c r="H38" s="76"/>
      <c r="I38" s="76"/>
      <c r="J38" s="76"/>
      <c r="L38" s="5">
        <v>9</v>
      </c>
      <c r="M38" s="75" t="s">
        <v>40</v>
      </c>
      <c r="N38" s="76"/>
      <c r="O38" s="76"/>
      <c r="P38" s="76"/>
      <c r="Q38" s="76"/>
      <c r="R38" s="76"/>
      <c r="S38" s="75"/>
      <c r="T38" s="76"/>
      <c r="U38" s="76"/>
      <c r="V38" s="82"/>
      <c r="W38" s="110" t="s">
        <v>84</v>
      </c>
      <c r="X38" s="111"/>
      <c r="Y38" s="111"/>
      <c r="Z38" s="111"/>
      <c r="AA38" s="111"/>
      <c r="AB38" s="111"/>
      <c r="AC38" s="111"/>
      <c r="AD38" s="111"/>
      <c r="AE38" s="111"/>
      <c r="AF38" s="111"/>
      <c r="AG38" s="112"/>
    </row>
    <row r="39" spans="2:33" x14ac:dyDescent="0.25">
      <c r="D39" s="13">
        <v>12</v>
      </c>
      <c r="E39" s="75" t="s">
        <v>38</v>
      </c>
      <c r="F39" s="76"/>
      <c r="G39" s="76"/>
      <c r="H39" s="76"/>
      <c r="I39" s="76"/>
      <c r="J39" s="76"/>
      <c r="L39" s="17">
        <v>11</v>
      </c>
      <c r="M39" s="75" t="s">
        <v>41</v>
      </c>
      <c r="N39" s="76"/>
      <c r="O39" s="76"/>
      <c r="P39" s="76"/>
      <c r="Q39" s="76"/>
      <c r="R39" s="82"/>
      <c r="S39" s="75"/>
      <c r="T39" s="76"/>
      <c r="U39" s="76"/>
      <c r="V39" s="82"/>
      <c r="W39" s="110" t="s">
        <v>85</v>
      </c>
      <c r="X39" s="111"/>
      <c r="Y39" s="111"/>
      <c r="Z39" s="111"/>
      <c r="AA39" s="111"/>
      <c r="AB39" s="111"/>
      <c r="AC39" s="111"/>
      <c r="AD39" s="111"/>
      <c r="AE39" s="111"/>
      <c r="AF39" s="111"/>
      <c r="AG39" s="112"/>
    </row>
    <row r="40" spans="2:33" ht="15.75" customHeight="1" x14ac:dyDescent="0.25">
      <c r="D40" s="6">
        <v>8.3000000000000007</v>
      </c>
      <c r="E40" s="75" t="s">
        <v>42</v>
      </c>
      <c r="F40" s="76"/>
      <c r="G40" s="76"/>
      <c r="H40" s="76"/>
      <c r="I40" s="76"/>
      <c r="J40" s="76"/>
      <c r="L40" s="53" t="s">
        <v>28</v>
      </c>
      <c r="M40" s="75" t="s">
        <v>50</v>
      </c>
      <c r="N40" s="76"/>
      <c r="O40" s="76"/>
      <c r="P40" s="76"/>
      <c r="Q40" s="76"/>
      <c r="R40" s="82"/>
      <c r="S40" s="75"/>
      <c r="T40" s="76"/>
      <c r="U40" s="76"/>
      <c r="V40" s="82"/>
      <c r="W40" s="97" t="s">
        <v>87</v>
      </c>
      <c r="X40" s="98"/>
      <c r="Y40" s="98"/>
      <c r="Z40" s="98"/>
      <c r="AA40" s="98"/>
      <c r="AB40" s="98"/>
      <c r="AC40" s="98"/>
      <c r="AD40" s="98"/>
      <c r="AE40" s="98"/>
      <c r="AF40" s="98"/>
      <c r="AG40" s="99"/>
    </row>
    <row r="41" spans="2:33" x14ac:dyDescent="0.25">
      <c r="D41" s="14" t="s">
        <v>49</v>
      </c>
      <c r="E41" s="75" t="s">
        <v>52</v>
      </c>
      <c r="F41" s="76"/>
      <c r="G41" s="76"/>
      <c r="H41" s="76"/>
      <c r="I41" s="76"/>
      <c r="J41" s="76"/>
      <c r="L41" s="54" t="s">
        <v>29</v>
      </c>
      <c r="M41" s="75" t="s">
        <v>69</v>
      </c>
      <c r="N41" s="76"/>
      <c r="O41" s="76"/>
      <c r="P41" s="76"/>
      <c r="Q41" s="76"/>
      <c r="R41" s="82"/>
      <c r="S41" s="86"/>
      <c r="T41" s="87"/>
      <c r="U41" s="87"/>
      <c r="V41" s="88"/>
      <c r="W41" s="103"/>
      <c r="X41" s="104"/>
      <c r="Y41" s="104"/>
      <c r="Z41" s="104"/>
      <c r="AA41" s="104"/>
      <c r="AB41" s="104"/>
      <c r="AC41" s="104"/>
      <c r="AD41" s="104"/>
      <c r="AE41" s="104"/>
      <c r="AF41" s="104"/>
      <c r="AG41" s="105"/>
    </row>
    <row r="43" spans="2:33" x14ac:dyDescent="0.25">
      <c r="D43" s="47" t="s">
        <v>58</v>
      </c>
      <c r="E43" s="75" t="s">
        <v>60</v>
      </c>
      <c r="F43" s="76"/>
      <c r="G43" s="76"/>
      <c r="H43" s="76"/>
      <c r="I43" s="76"/>
      <c r="J43" s="76"/>
      <c r="L43" s="50" t="s">
        <v>59</v>
      </c>
      <c r="M43" s="75" t="s">
        <v>56</v>
      </c>
      <c r="N43" s="76"/>
      <c r="O43" s="76"/>
      <c r="P43" s="76"/>
      <c r="Q43" s="76"/>
      <c r="R43" s="76"/>
    </row>
    <row r="44" spans="2:33" x14ac:dyDescent="0.25">
      <c r="D44" s="52" t="s">
        <v>64</v>
      </c>
      <c r="E44" s="75" t="s">
        <v>65</v>
      </c>
      <c r="F44" s="76"/>
      <c r="G44" s="76"/>
      <c r="H44" s="76"/>
      <c r="I44" s="76"/>
      <c r="J44" s="76"/>
      <c r="K44" s="51"/>
    </row>
  </sheetData>
  <mergeCells count="32">
    <mergeCell ref="E44:J44"/>
    <mergeCell ref="E40:J40"/>
    <mergeCell ref="M40:R40"/>
    <mergeCell ref="E41:J41"/>
    <mergeCell ref="M41:R41"/>
    <mergeCell ref="E43:J43"/>
    <mergeCell ref="M43:R43"/>
    <mergeCell ref="B33:C33"/>
    <mergeCell ref="S36:V41"/>
    <mergeCell ref="W36:AG36"/>
    <mergeCell ref="E37:J37"/>
    <mergeCell ref="M37:R37"/>
    <mergeCell ref="E38:J38"/>
    <mergeCell ref="M38:R38"/>
    <mergeCell ref="E39:J39"/>
    <mergeCell ref="M39:R39"/>
    <mergeCell ref="W37:AG37"/>
    <mergeCell ref="W38:AG38"/>
    <mergeCell ref="W39:AG39"/>
    <mergeCell ref="W40:AG41"/>
    <mergeCell ref="B32:C32"/>
    <mergeCell ref="B1:AG1"/>
    <mergeCell ref="B2:C3"/>
    <mergeCell ref="B4:AG4"/>
    <mergeCell ref="B7:AG7"/>
    <mergeCell ref="D10:AG10"/>
    <mergeCell ref="B13:AG13"/>
    <mergeCell ref="B17:AG17"/>
    <mergeCell ref="B22:AG22"/>
    <mergeCell ref="B29:C29"/>
    <mergeCell ref="B30:C30"/>
    <mergeCell ref="B31:C31"/>
  </mergeCells>
  <phoneticPr fontId="3" type="noConversion"/>
  <pageMargins left="0.143700787" right="0" top="0.35433070866141703" bottom="0.35433070866141703" header="0.31496062992126" footer="0.31496062992126"/>
  <pageSetup scale="80" orientation="landscape" r:id="rId1"/>
  <colBreaks count="1" manualBreakCount="1">
    <brk id="33"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Jun26</vt:lpstr>
      <vt:lpstr>Jul26</vt:lpstr>
      <vt:lpstr>Aug26</vt:lpstr>
      <vt:lpstr>Sep26</vt:lpstr>
      <vt:lpstr>'Aug26'!Print_Area</vt:lpstr>
      <vt:lpstr>'Jul26'!Print_Area</vt:lpstr>
      <vt:lpstr>'Jun26'!Print_Area</vt:lpstr>
      <vt:lpstr>'Sep26'!Print_Area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shaun</dc:creator>
  <cp:lastModifiedBy>User</cp:lastModifiedBy>
  <cp:lastPrinted>2026-08-30T05:08:46Z</cp:lastPrinted>
  <dcterms:created xsi:type="dcterms:W3CDTF">2026-05-27T05:33:44Z</dcterms:created>
  <dcterms:modified xsi:type="dcterms:W3CDTF">2026-09-12T07:42:20Z</dcterms:modified>
</cp:coreProperties>
</file>